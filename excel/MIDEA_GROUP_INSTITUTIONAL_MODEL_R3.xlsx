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9ca549693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Executive Summary" sheetId="1" r:id="R89082fc564f14f0b"/>
    <x:sheet xmlns:r="http://schemas.openxmlformats.org/officeDocument/2006/relationships" name="02 Control Panel" sheetId="2" r:id="Rdceaec3937d34691"/>
    <x:sheet xmlns:r="http://schemas.openxmlformats.org/officeDocument/2006/relationships" name="03 Sources" sheetId="3" r:id="Rab0b5e7c083e4b8b"/>
    <x:sheet xmlns:r="http://schemas.openxmlformats.org/officeDocument/2006/relationships" name="04 Historical IS" sheetId="4" r:id="R77c998048a314982"/>
    <x:sheet xmlns:r="http://schemas.openxmlformats.org/officeDocument/2006/relationships" name="05 Historical BS" sheetId="5" r:id="R2b3e7504297145f4"/>
    <x:sheet xmlns:r="http://schemas.openxmlformats.org/officeDocument/2006/relationships" name="06 Historical CF" sheetId="6" r:id="R9c7d9ee2c0ec42c6"/>
    <x:sheet xmlns:r="http://schemas.openxmlformats.org/officeDocument/2006/relationships" name="07 Forecast Drivers" sheetId="7" r:id="R1a89d322a41b4a9d"/>
    <x:sheet xmlns:r="http://schemas.openxmlformats.org/officeDocument/2006/relationships" name="08 Revenue Forecast" sheetId="8" r:id="R7da7aad2c5d0473f"/>
    <x:sheet xmlns:r="http://schemas.openxmlformats.org/officeDocument/2006/relationships" name="09 Income Statement" sheetId="9" r:id="Ref2c3e0ec71f4cd6"/>
    <x:sheet xmlns:r="http://schemas.openxmlformats.org/officeDocument/2006/relationships" name="10 Balance Sheet" sheetId="10" r:id="Ref2a4c51f1ea40fb"/>
    <x:sheet xmlns:r="http://schemas.openxmlformats.org/officeDocument/2006/relationships" name="11 Cash Flow" sheetId="11" r:id="Rea19d4d5807645c1"/>
    <x:sheet xmlns:r="http://schemas.openxmlformats.org/officeDocument/2006/relationships" name="12 FCFF" sheetId="12" r:id="Rc0edb10c47fb49d1"/>
    <x:sheet xmlns:r="http://schemas.openxmlformats.org/officeDocument/2006/relationships" name="13 EPS Shares" sheetId="13" r:id="Rec3aec0c70a049de"/>
    <x:sheet xmlns:r="http://schemas.openxmlformats.org/officeDocument/2006/relationships" name="14 WACC" sheetId="14" r:id="Rc86970960113494f"/>
    <x:sheet xmlns:r="http://schemas.openxmlformats.org/officeDocument/2006/relationships" name="15 DCF Valuation" sheetId="15" r:id="R691d1536566f4282"/>
    <x:sheet xmlns:r="http://schemas.openxmlformats.org/officeDocument/2006/relationships" name="16 DCF Sensitivity" sheetId="16" r:id="R40cd7c35120547af"/>
    <x:sheet xmlns:r="http://schemas.openxmlformats.org/officeDocument/2006/relationships" name="17 Reverse DCF" sheetId="17" r:id="R1d10b80222014c14"/>
    <x:sheet xmlns:r="http://schemas.openxmlformats.org/officeDocument/2006/relationships" name="18 EV Equity Bridge" sheetId="18" r:id="R448b5e852f584abe"/>
    <x:sheet xmlns:r="http://schemas.openxmlformats.org/officeDocument/2006/relationships" name="19 Comparable Cos" sheetId="19" r:id="Red07bb0430204d62"/>
    <x:sheet xmlns:r="http://schemas.openxmlformats.org/officeDocument/2006/relationships" name="20 Comps Valuation" sheetId="20" r:id="R0912e2bcfe9544c5"/>
    <x:sheet xmlns:r="http://schemas.openxmlformats.org/officeDocument/2006/relationships" name="21 Synthesis" sheetId="21" r:id="R0a38ea3ce22f4719"/>
    <x:sheet xmlns:r="http://schemas.openxmlformats.org/officeDocument/2006/relationships" name="22 Audit Controls" sheetId="22" r:id="Ra81f42d4a08d4c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.00"/>
    <x:numFmt numFmtId="202" formatCode="0.0000%"/>
    <x:numFmt numFmtId="203" formatCode="0.000000"/>
    <x:numFmt numFmtId="204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color rgb="FF0B1F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0F766E"/>
      </x:patternFill>
    </x:fill>
    <x:fill>
      <x:patternFill patternType="solid">
        <x:fgColor rgb="FFE7F3F2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4" fillId="4" borderId="1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3" fillId="3" borderId="1" xfId="0" applyNumberFormat="1" applyFont="1" applyFill="1" applyBorder="1"/>
    <x:xf numFmtId="200" fontId="3" fillId="3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1" xfId="0" applyNumberFormat="1" applyFont="1" applyFill="1" applyBorder="1"/>
    <x:xf numFmtId="204" fontId="3" fillId="3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201" fontId="4" fillId="4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1" fontId="4" fillId="4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/>
    </x:xf>
    <x:xf numFmtId="201" fontId="3" fillId="3" borderId="1" xfId="0" applyNumberFormat="1" applyFont="1" applyFill="1" applyBorder="1" applyAlignment="1">
      <x:alignment vertical="center"/>
    </x:xf>
    <x:xf numFmtId="201" fontId="3" fillId="3" borderId="1" xfId="0" applyNumberFormat="1" applyFont="1" applyFill="1" applyBorder="1" applyAlignment="1">
      <x:alignment vertical="center" wrapText="1"/>
    </x:xf>
    <x:xf numFmtId="200" fontId="3" fillId="3" borderId="1" xfId="0" applyNumberFormat="1" applyFont="1" applyFill="1" applyBorder="1" applyAlignment="1">
      <x:alignment vertical="center"/>
    </x:xf>
    <x:xf numFmtId="204" fontId="3" fillId="3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3" fillId="3" borderId="1" xfId="0" applyNumberFormat="1" applyFont="1" applyFill="1" applyBorder="1" applyAlignment="1">
      <x:alignment vertical="center" wrapText="1"/>
    </x:xf>
    <x:xf numFmtId="204" fontId="3" fillId="3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32786dca98486d" /><Relationship Type="http://schemas.openxmlformats.org/officeDocument/2006/relationships/theme" Target="/xl/theme/theme1.xml" Id="Rcf1ad0f68f4d4006" /><Relationship Type="http://schemas.microsoft.com/office/2022/11/relationships/FeaturePropertyBag" Target="/xl/featurePropertyBag/featurePropertyBag.xml" Id="R5f146758cfc549ce" /><Relationship Type="http://schemas.openxmlformats.org/officeDocument/2006/relationships/sharedStrings" Target="/xl/sharedStrings.xml" Id="Rb1382f38ab9247cd" /><Relationship Type="http://schemas.openxmlformats.org/officeDocument/2006/relationships/worksheet" Target="/xl/worksheets/sheet1.xml" Id="R89082fc564f14f0b" /><Relationship Type="http://schemas.openxmlformats.org/officeDocument/2006/relationships/worksheet" Target="/xl/worksheets/sheet2.xml" Id="Rdceaec3937d34691" /><Relationship Type="http://schemas.openxmlformats.org/officeDocument/2006/relationships/worksheet" Target="/xl/worksheets/sheet3.xml" Id="Rab0b5e7c083e4b8b" /><Relationship Type="http://schemas.openxmlformats.org/officeDocument/2006/relationships/worksheet" Target="/xl/worksheets/sheet4.xml" Id="R77c998048a314982" /><Relationship Type="http://schemas.openxmlformats.org/officeDocument/2006/relationships/worksheet" Target="/xl/worksheets/sheet5.xml" Id="R2b3e7504297145f4" /><Relationship Type="http://schemas.openxmlformats.org/officeDocument/2006/relationships/worksheet" Target="/xl/worksheets/sheet6.xml" Id="R9c7d9ee2c0ec42c6" /><Relationship Type="http://schemas.openxmlformats.org/officeDocument/2006/relationships/worksheet" Target="/xl/worksheets/sheet7.xml" Id="R1a89d322a41b4a9d" /><Relationship Type="http://schemas.openxmlformats.org/officeDocument/2006/relationships/worksheet" Target="/xl/worksheets/sheet8.xml" Id="R7da7aad2c5d0473f" /><Relationship Type="http://schemas.openxmlformats.org/officeDocument/2006/relationships/worksheet" Target="/xl/worksheets/sheet9.xml" Id="Ref2c3e0ec71f4cd6" /><Relationship Type="http://schemas.openxmlformats.org/officeDocument/2006/relationships/worksheet" Target="/xl/worksheets/sheet10.xml" Id="Ref2a4c51f1ea40fb" /><Relationship Type="http://schemas.openxmlformats.org/officeDocument/2006/relationships/worksheet" Target="/xl/worksheets/sheet11.xml" Id="Rea19d4d5807645c1" /><Relationship Type="http://schemas.openxmlformats.org/officeDocument/2006/relationships/worksheet" Target="/xl/worksheets/sheet12.xml" Id="Rc0edb10c47fb49d1" /><Relationship Type="http://schemas.openxmlformats.org/officeDocument/2006/relationships/worksheet" Target="/xl/worksheets/sheet13.xml" Id="Rec3aec0c70a049de" /><Relationship Type="http://schemas.openxmlformats.org/officeDocument/2006/relationships/worksheet" Target="/xl/worksheets/sheet14.xml" Id="Rc86970960113494f" /><Relationship Type="http://schemas.openxmlformats.org/officeDocument/2006/relationships/worksheet" Target="/xl/worksheets/sheet15.xml" Id="R691d1536566f4282" /><Relationship Type="http://schemas.openxmlformats.org/officeDocument/2006/relationships/worksheet" Target="/xl/worksheets/sheet16.xml" Id="R40cd7c35120547af" /><Relationship Type="http://schemas.openxmlformats.org/officeDocument/2006/relationships/worksheet" Target="/xl/worksheets/sheet17.xml" Id="R1d10b80222014c14" /><Relationship Type="http://schemas.openxmlformats.org/officeDocument/2006/relationships/worksheet" Target="/xl/worksheets/sheet18.xml" Id="R448b5e852f584abe" /><Relationship Type="http://schemas.openxmlformats.org/officeDocument/2006/relationships/worksheet" Target="/xl/worksheets/sheet19.xml" Id="Red07bb0430204d62" /><Relationship Type="http://schemas.openxmlformats.org/officeDocument/2006/relationships/worksheet" Target="/xl/worksheets/sheet20.xml" Id="R0912e2bcfe9544c5" /><Relationship Type="http://schemas.openxmlformats.org/officeDocument/2006/relationships/worksheet" Target="/xl/worksheets/sheet21.xml" Id="R0a38ea3ce22f4719" /><Relationship Type="http://schemas.openxmlformats.org/officeDocument/2006/relationships/worksheet" Target="/xl/worksheets/sheet22.xml" Id="Ra81f42d4a08d4c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.75" hidden="0" customWidth="1"/>
    <x:col min="2" max="2" width="37.630001068115234" hidden="0" customWidth="1"/>
  </x:cols>
  <x:sheetData>
    <x:row r="1">
      <x:c r="A1" s="37" t="str">
        <x:v>Midea Group | Final Release Revision R3</x:v>
      </x:c>
      <x:c r="B1" s="37"/>
      <x:c r="C1" s="37"/>
      <x:c r="D1" s="37"/>
      <x:c r="E1" s="37"/>
      <x:c r="F1" s="37"/>
      <x:c r="G1" s="37"/>
      <x:c r="H1" s="37"/>
    </x:row>
    <x:row r="2">
      <x:c r="A2" s="38" t="str">
        <x:v>Information cutoff 2026-08-20 | Valuation date 2026-09-11</x:v>
      </x:c>
      <x:c r="B2" s="38"/>
      <x:c r="C2" s="38"/>
      <x:c r="D2" s="38"/>
      <x:c r="E2" s="38"/>
      <x:c r="F2" s="38"/>
      <x:c r="G2" s="38"/>
      <x:c r="H2" s="38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0" t="str">
        <x:v>Metric</x:v>
      </x:c>
      <x:c r="B4" s="40" t="str">
        <x:v>Certified R3 value</x:v>
      </x:c>
      <x:c r="C4" s="39"/>
      <x:c r="D4" s="39"/>
      <x:c r="E4" s="39"/>
      <x:c r="F4" s="39"/>
      <x:c r="G4" s="39"/>
      <x:c r="H4" s="39"/>
    </x:row>
    <x:row r="5">
      <x:c r="A5" s="39" t="str">
        <x:v>Market price</x:v>
      </x:c>
      <x:c r="B5" s="41" t="n">
        <x:v>86.26</x:v>
      </x:c>
      <x:c r="C5" s="39"/>
      <x:c r="D5" s="39"/>
      <x:c r="E5" s="39"/>
      <x:c r="F5" s="39"/>
      <x:c r="G5" s="39"/>
      <x:c r="H5" s="39"/>
    </x:row>
    <x:row r="6">
      <x:c r="A6" s="39" t="str">
        <x:v>DCF bear</x:v>
      </x:c>
      <x:c r="B6" s="41" t="n">
        <x:f>'15 DCF Valuation'!D11</x:f>
        <x:v>117.4384902158696</x:v>
      </x:c>
      <x:c r="C6" s="39"/>
      <x:c r="D6" s="39"/>
      <x:c r="E6" s="39"/>
      <x:c r="F6" s="39"/>
      <x:c r="G6" s="39"/>
      <x:c r="H6" s="39"/>
    </x:row>
    <x:row r="7">
      <x:c r="A7" s="39" t="str">
        <x:v>DCF base</x:v>
      </x:c>
      <x:c r="B7" s="41" t="n">
        <x:f>'15 DCF Valuation'!D12</x:f>
        <x:v>294.51061721851204</x:v>
      </x:c>
      <x:c r="C7" s="39"/>
      <x:c r="D7" s="39"/>
      <x:c r="E7" s="39"/>
      <x:c r="F7" s="39"/>
      <x:c r="G7" s="39"/>
      <x:c r="H7" s="39"/>
    </x:row>
    <x:row r="8">
      <x:c r="A8" s="39" t="str">
        <x:v>DCF bull</x:v>
      </x:c>
      <x:c r="B8" s="41" t="n">
        <x:f>'15 DCF Valuation'!D13</x:f>
        <x:v>548.936871122868</x:v>
      </x:c>
      <x:c r="C8" s="39"/>
      <x:c r="D8" s="39"/>
      <x:c r="E8" s="39"/>
      <x:c r="F8" s="39"/>
      <x:c r="G8" s="39"/>
      <x:c r="H8" s="39"/>
    </x:row>
    <x:row r="9">
      <x:c r="A9" s="39" t="str">
        <x:v>Comps low</x:v>
      </x:c>
      <x:c r="B9" s="41" t="n">
        <x:f>'20 Comps Valuation'!B20</x:f>
        <x:v>76.99490196935251</x:v>
      </x:c>
      <x:c r="C9" s="39"/>
      <x:c r="D9" s="39"/>
      <x:c r="E9" s="39"/>
      <x:c r="F9" s="39"/>
      <x:c r="G9" s="39"/>
      <x:c r="H9" s="39"/>
    </x:row>
    <x:row r="10">
      <x:c r="A10" s="39" t="str">
        <x:v>Comps central</x:v>
      </x:c>
      <x:c r="B10" s="41" t="n">
        <x:f>'20 Comps Valuation'!B21</x:f>
        <x:v>90.17128260389612</x:v>
      </x:c>
      <x:c r="C10" s="39"/>
      <x:c r="D10" s="39"/>
      <x:c r="E10" s="39"/>
      <x:c r="F10" s="39"/>
      <x:c r="G10" s="39"/>
      <x:c r="H10" s="39"/>
    </x:row>
    <x:row r="11">
      <x:c r="A11" s="39" t="str">
        <x:v>Comps high</x:v>
      </x:c>
      <x:c r="B11" s="41" t="n">
        <x:f>'20 Comps Valuation'!B22</x:f>
        <x:v>99.20698269464727</x:v>
      </x:c>
      <x:c r="C11" s="39"/>
      <x:c r="D11" s="39"/>
      <x:c r="E11" s="39"/>
      <x:c r="F11" s="39"/>
      <x:c r="G11" s="39"/>
      <x:c r="H11" s="39"/>
    </x:row>
    <x:row r="12">
      <x:c r="A12" s="39" t="str">
        <x:v>Investment view</x:v>
      </x:c>
      <x:c r="B12" s="39" t="str">
        <x:v>DCF_INDICATES_UPSIDE_BUT_LOW_CONFIDENCE</x:v>
      </x:c>
      <x:c r="C12" s="39"/>
      <x:c r="D12" s="39"/>
      <x:c r="E12" s="39"/>
      <x:c r="F12" s="39"/>
      <x:c r="G12" s="39"/>
      <x:c r="H12" s="39"/>
    </x:row>
    <x:row r="13">
      <x:c r="A13" s="39" t="str">
        <x:v>Risk</x:v>
      </x:c>
      <x:c r="B13" s="39" t="str">
        <x:v>HIGH</x:v>
      </x:c>
      <x:c r="C13" s="39"/>
      <x:c r="D13" s="39"/>
      <x:c r="E13" s="39"/>
      <x:c r="F13" s="39"/>
      <x:c r="G13" s="39"/>
      <x:c r="H13" s="39"/>
    </x:row>
    <x:row r="14">
      <x:c r="A14" s="39" t="str">
        <x:v>Confidence</x:v>
      </x:c>
      <x:c r="B14" s="39" t="str">
        <x:v>LOW_TO_MEDIUM</x:v>
      </x:c>
      <x:c r="C14" s="39"/>
      <x:c r="D14" s="39"/>
      <x:c r="E14" s="39"/>
      <x:c r="F14" s="39"/>
      <x:c r="G14" s="39"/>
      <x:c r="H14" s="39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1" hidden="0" customWidth="1"/>
  </x:cols>
  <x:sheetData>
    <x:row r="1">
      <x:c r="A1" s="37" t="str">
        <x:v>Governance Control Panel</x:v>
      </x:c>
      <x:c r="B1" s="37"/>
      <x:c r="C1" s="37"/>
      <x:c r="D1" s="37"/>
      <x:c r="E1" s="37"/>
      <x:c r="F1" s="37"/>
      <x:c r="G1" s="37"/>
      <x:c r="H1" s="37"/>
    </x:row>
    <x:row r="2">
      <x:c r="A2" s="39"/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2" t="str">
        <x:v>Control</x:v>
      </x:c>
      <x:c r="B4" s="42" t="str">
        <x:v>Result</x:v>
      </x:c>
      <x:c r="C4" s="39"/>
      <x:c r="D4" s="39"/>
      <x:c r="E4" s="39"/>
      <x:c r="F4" s="39"/>
      <x:c r="G4" s="39"/>
      <x:c r="H4" s="39"/>
    </x:row>
    <x:row r="5">
      <x:c r="A5" s="43" t="str">
        <x:v>H3-B authority</x:v>
      </x:c>
      <x:c r="B5" s="43" t="str">
        <x:v>FROZEN_ATTEMPT_005_R3</x:v>
      </x:c>
      <x:c r="C5" s="39"/>
      <x:c r="D5" s="39"/>
      <x:c r="E5" s="39"/>
      <x:c r="F5" s="39"/>
      <x:c r="G5" s="39"/>
      <x:c r="H5" s="39"/>
    </x:row>
    <x:row r="6">
      <x:c r="A6" s="43" t="str">
        <x:v>Operating information cutoff</x:v>
      </x:c>
      <x:c r="B6" s="43" t="str">
        <x:v>2026-08-20</x:v>
      </x:c>
      <x:c r="C6" s="39"/>
      <x:c r="D6" s="39"/>
      <x:c r="E6" s="39"/>
      <x:c r="F6" s="39"/>
      <x:c r="G6" s="39"/>
      <x:c r="H6" s="39"/>
    </x:row>
    <x:row r="7">
      <x:c r="A7" s="43" t="str">
        <x:v>Valuation date</x:v>
      </x:c>
      <x:c r="B7" s="43" t="str">
        <x:v>2026-09-11</x:v>
      </x:c>
      <x:c r="C7" s="39"/>
      <x:c r="D7" s="39"/>
      <x:c r="E7" s="39"/>
      <x:c r="F7" s="39"/>
      <x:c r="G7" s="39"/>
      <x:c r="H7" s="39"/>
    </x:row>
    <x:row r="8">
      <x:c r="A8" s="43" t="str">
        <x:v>Period basis</x:v>
      </x:c>
      <x:c r="B8" s="43" t="str"/>
      <x:c r="C8" s="39"/>
      <x:c r="D8" s="39"/>
      <x:c r="E8" s="39"/>
      <x:c r="F8" s="39"/>
      <x:c r="G8" s="39"/>
      <x:c r="H8" s="39"/>
    </x:row>
    <x:row r="9">
      <x:c r="A9" s="43" t="str">
        <x:v>Peer/Midea mismatches</x:v>
      </x:c>
      <x:c r="B9" s="43" t="str"/>
      <x:c r="C9" s="39"/>
      <x:c r="D9" s="39"/>
      <x:c r="E9" s="39"/>
      <x:c r="F9" s="39"/>
      <x:c r="G9" s="39"/>
      <x:c r="H9" s="39"/>
    </x:row>
    <x:row r="10">
      <x:c r="A10" s="43" t="str">
        <x:v>Status</x:v>
      </x:c>
      <x:c r="B10" s="43" t="str">
        <x:v>PASS</x:v>
      </x:c>
      <x:c r="C10" s="39"/>
      <x:c r="D10" s="39"/>
      <x:c r="E10" s="39"/>
      <x:c r="F10" s="39"/>
      <x:c r="G10" s="39"/>
      <x:c r="H10" s="39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.130000114440918" hidden="0" customWidth="1"/>
    <x:col min="2" max="2" width="29.6299991607666" hidden="0" customWidth="1"/>
    <x:col min="3" max="3" width="62.880001068115234" hidden="0" customWidth="1"/>
    <x:col min="4" max="4" width="59.380001068115234" hidden="0" customWidth="1"/>
    <x:col min="5" max="5" width="34" hidden="0" customWidth="1"/>
    <x:col min="6" max="6" width="13.630000114440918" hidden="0" customWidth="1"/>
    <x:col min="7" max="7" width="17.3799991607666" hidden="0" customWidth="1"/>
    <x:col min="8" max="8" width="20.8799991607666" hidden="0" customWidth="1"/>
    <x:col min="9" max="9" width="35.130001068115234" hidden="0" customWidth="1"/>
    <x:col min="10" max="10" width="19.8799991607666" hidden="0" customWidth="1"/>
    <x:col min="11" max="11" width="27" hidden="0" customWidth="1"/>
    <x:col min="12" max="12" width="73.75" hidden="0" customWidth="1"/>
    <x:col min="13" max="13" width="13.630000114440918" hidden="0" customWidth="1"/>
    <x:col min="14" max="14" width="37.380001068115234" hidden="0" customWidth="1"/>
    <x:col min="15" max="15" width="13.75" hidden="0" customWidth="1"/>
    <x:col min="16" max="16" width="32.380001068115234" hidden="0" customWidth="1"/>
    <x:col min="17" max="17" width="39.75" hidden="0" customWidth="1"/>
    <x:col min="18" max="18" width="8.380000114440918" hidden="0" customWidth="1"/>
    <x:col min="19" max="19" width="78" hidden="0" customWidth="1"/>
    <x:col min="20" max="20" width="18" hidden="0" customWidth="1"/>
  </x:cols>
  <x:sheetData>
    <x:row r="1">
      <x:c r="A1" s="37" t="str">
        <x:v>Institutional Source Registry</x:v>
      </x:c>
      <x:c r="B1" s="37"/>
      <x:c r="C1" s="37"/>
      <x:c r="D1" s="37"/>
      <x:c r="E1" s="37"/>
      <x:c r="F1" s="37"/>
      <x:c r="G1" s="37"/>
      <x:c r="H1" s="37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</x:row>
    <x:row r="4">
      <x:c r="A4" s="42" t="str">
        <x:v>Access_Date</x:v>
      </x:c>
      <x:c r="B4" s="42" t="str">
        <x:v>Allowed_Use</x:v>
      </x:c>
      <x:c r="C4" s="42" t="str">
        <x:v>Archived_File_Path</x:v>
      </x:c>
      <x:c r="D4" s="42" t="str">
        <x:v>Archived_File_SHA256</x:v>
      </x:c>
      <x:c r="E4" s="42" t="str">
        <x:v>Document_or_API</x:v>
      </x:c>
      <x:c r="F4" s="42" t="str">
        <x:v>Final_Unit</x:v>
      </x:c>
      <x:c r="G4" s="42" t="str">
        <x:v>Final_Value</x:v>
      </x:c>
      <x:c r="H4" s="42" t="str">
        <x:v>Information_Cutoff_Status</x:v>
      </x:c>
      <x:c r="I4" s="42" t="str">
        <x:v>Metric</x:v>
      </x:c>
      <x:c r="J4" s="42" t="str">
        <x:v>Model_or_Valuation</x:v>
      </x:c>
      <x:c r="K4" s="42" t="str">
        <x:v>Observation_Date</x:v>
      </x:c>
      <x:c r="L4" s="42" t="str">
        <x:v>Original_URL</x:v>
      </x:c>
      <x:c r="M4" s="42" t="str">
        <x:v>Publication_Date</x:v>
      </x:c>
      <x:c r="N4" s="42" t="str">
        <x:v>Publisher</x:v>
      </x:c>
      <x:c r="O4" s="42" t="str">
        <x:v>Raw_Unit</x:v>
      </x:c>
      <x:c r="P4" s="42" t="str">
        <x:v>Raw_Value</x:v>
      </x:c>
      <x:c r="Q4" s="42" t="str">
        <x:v>Source_ID</x:v>
      </x:c>
      <x:c r="R4" s="42" t="str">
        <x:v>Status</x:v>
      </x:c>
      <x:c r="S4" s="42" t="str">
        <x:v>Transformation</x:v>
      </x:c>
      <x:c r="T4" s="42" t="str">
        <x:v>Valuation_Date_Status</x:v>
      </x:c>
    </x:row>
    <x:row r="5">
      <x:c r="A5" s="43" t="str">
        <x:v>2026-09-13</x:v>
      </x:c>
      <x:c r="B5" s="43" t="str">
        <x:v>WACC_ONLY</x:v>
      </x:c>
      <x:c r="C5" s="43" t="str">
        <x:v>sources/valuation/DAMODARAN_CTRYPREM_JULY_1_2026.xlsx</x:v>
      </x:c>
      <x:c r="D5" s="43" t="str">
        <x:v>8d7237c432bca23cd680f149395aa518a465d0b77bec1fdf788edc7a1748c60a</x:v>
      </x:c>
      <x:c r="E5" s="43" t="str">
        <x:v>Country risk premium July 2026 workbook</x:v>
      </x:c>
      <x:c r="F5" s="43" t="str">
        <x:v>DECIMAL</x:v>
      </x:c>
      <x:c r="G5" s="43" t="n">
        <x:v>0.05072786</x:v>
      </x:c>
      <x:c r="H5" s="43" t="str">
        <x:v>PASS</x:v>
      </x:c>
      <x:c r="I5" s="43" t="str">
        <x:v>China rating-based total ERP</x:v>
      </x:c>
      <x:c r="J5" s="43" t="str">
        <x:v>VALUATION</x:v>
      </x:c>
      <x:c r="K5" s="43" t="str">
        <x:v>2026-06-30</x:v>
      </x:c>
      <x:c r="L5" s="43" t="str">
        <x:v>https://pages.stern.nyu.edu/~adamodar/pc/datasets/ctrypremJuly26.xlsx</x:v>
      </x:c>
      <x:c r="M5" s="43" t="str">
        <x:v>2026-07-01</x:v>
      </x:c>
      <x:c r="N5" s="43" t="str">
        <x:v>Aswath Damodaran / NYU Stern</x:v>
      </x:c>
      <x:c r="O5" s="43" t="str">
        <x:v>DECIMAL</x:v>
      </x:c>
      <x:c r="P5" s="43" t="n">
        <x:v>0.05072785839763368</x:v>
      </x:c>
      <x:c r="Q5" s="43" t="str">
        <x:v>R3-SRC-ERP</x:v>
      </x:c>
      <x:c r="R5" s="43" t="str">
        <x:v>PASS</x:v>
      </x:c>
      <x:c r="S5" s="43" t="str">
        <x:v>China row / rating-based total ERP</x:v>
      </x:c>
      <x:c r="T5" s="43" t="str">
        <x:v>PASS</x:v>
      </x:c>
    </x:row>
    <x:row r="6">
      <x:c r="A6" s="43" t="str">
        <x:v>2026-09-13</x:v>
      </x:c>
      <x:c r="B6" s="43" t="str">
        <x:v>WACC_ONLY</x:v>
      </x:c>
      <x:c r="C6" s="43" t="str">
        <x:v>sources/valuation/CHINABOND_YIELD_OBSERVATIONS_2026-09-11.json</x:v>
      </x:c>
      <x:c r="D6" s="43" t="str">
        <x:v>6b0c3c24ea60d528acea587116bd583c77263f8a709d9abbeaae8b9a85fff520</x:v>
      </x:c>
      <x:c r="E6" s="43" t="str">
        <x:v>Pinned valuation-date yield observations</x:v>
      </x:c>
      <x:c r="F6" s="43" t="str">
        <x:v>DECIMAL</x:v>
      </x:c>
      <x:c r="G6" s="43" t="n">
        <x:v>0.016899</x:v>
      </x:c>
      <x:c r="H6" s="43" t="str">
        <x:v>PASS</x:v>
      </x:c>
      <x:c r="I6" s="43" t="str">
        <x:v>RMB risk-free rate</x:v>
      </x:c>
      <x:c r="J6" s="43" t="str">
        <x:v>VALUATION</x:v>
      </x:c>
      <x:c r="K6" s="43" t="str">
        <x:v>2026-09-11</x:v>
      </x:c>
      <x:c r="L6" s="43" t="str">
        <x:v>https://yield.chinabond.com.cn/cbweb-pbc-web/pbc/more?locale=en_US</x:v>
      </x:c>
      <x:c r="M6" s="43" t="str">
        <x:v>2026-09-11</x:v>
      </x:c>
      <x:c r="N6" s="43" t="str">
        <x:v>ChinaBond / CCDC</x:v>
      </x:c>
      <x:c r="O6" s="43" t="str">
        <x:v>DECIMAL</x:v>
      </x:c>
      <x:c r="P6" s="43" t="n">
        <x:v>0.016899</x:v>
      </x:c>
      <x:c r="Q6" s="43" t="str">
        <x:v>R3-SRC-RF</x:v>
      </x:c>
      <x:c r="R6" s="43" t="str">
        <x:v>PASS</x:v>
      </x:c>
      <x:c r="S6" s="43" t="str">
        <x:v>none</x:v>
      </x:c>
      <x:c r="T6" s="43" t="str">
        <x:v>PASS</x:v>
      </x:c>
    </x:row>
    <x:row r="7">
      <x:c r="A7" s="43" t="str">
        <x:v>2026-09-13</x:v>
      </x:c>
      <x:c r="B7" s="43" t="str">
        <x:v>WACC_ONLY</x:v>
      </x:c>
      <x:c r="C7" s="43" t="str">
        <x:v>sources/valuation/CHINABOND_YIELD_OBSERVATIONS_2026-09-11.json</x:v>
      </x:c>
      <x:c r="D7" s="43" t="str">
        <x:v>6b0c3c24ea60d528acea587116bd583c77263f8a709d9abbeaae8b9a85fff520</x:v>
      </x:c>
      <x:c r="E7" s="43" t="str">
        <x:v>Pinned valuation-date yield observations</x:v>
      </x:c>
      <x:c r="F7" s="43" t="str">
        <x:v>DECIMAL</x:v>
      </x:c>
      <x:c r="G7" s="43" t="n">
        <x:v>0.017292</x:v>
      </x:c>
      <x:c r="H7" s="43" t="str">
        <x:v>PASS</x:v>
      </x:c>
      <x:c r="I7" s="43" t="str">
        <x:v>Pre-tax marginal cost of debt</x:v>
      </x:c>
      <x:c r="J7" s="43" t="str">
        <x:v>VALUATION</x:v>
      </x:c>
      <x:c r="K7" s="43" t="str">
        <x:v>2026-09-11</x:v>
      </x:c>
      <x:c r="L7" s="43" t="str">
        <x:v>https://yield.chinabond.com.cn/cbweb-pbc-web/pbc/more?locale=en_US</x:v>
      </x:c>
      <x:c r="M7" s="43" t="str">
        <x:v>2026-09-11</x:v>
      </x:c>
      <x:c r="N7" s="43" t="str">
        <x:v>ChinaBond / CCDC</x:v>
      </x:c>
      <x:c r="O7" s="43" t="str">
        <x:v>DECIMAL</x:v>
      </x:c>
      <x:c r="P7" s="43" t="n">
        <x:v>0.017292</x:v>
      </x:c>
      <x:c r="Q7" s="43" t="str">
        <x:v>R3-SRC-KD</x:v>
      </x:c>
      <x:c r="R7" s="43" t="str">
        <x:v>PASS</x:v>
      </x:c>
      <x:c r="S7" s="43" t="str">
        <x:v>none</x:v>
      </x:c>
      <x:c r="T7" s="43" t="str">
        <x:v>PASS</x:v>
      </x:c>
    </x:row>
    <x:row r="8">
      <x:c r="A8" s="43" t="str">
        <x:v>2026-09-13</x:v>
      </x:c>
      <x:c r="B8" s="43" t="str">
        <x:v>MARKET_PRICE_AND_BETA</x:v>
      </x:c>
      <x:c r="C8" s="43" t="str">
        <x:v>sources/valuation/000333_SZ_5Y_MONTHLY.json</x:v>
      </x:c>
      <x:c r="D8" s="43" t="str">
        <x:v>b7104db79a5d463319a66012725785bb5d6c289ca106aa9ef4d5744393bbe867</x:v>
      </x:c>
      <x:c r="E8" s="43" t="str">
        <x:v>Pinned Midea price and beta series</x:v>
      </x:c>
      <x:c r="F8" s="43" t="str">
        <x:v>CNY_PER_SHARE</x:v>
      </x:c>
      <x:c r="G8" s="43" t="n">
        <x:v>86.26</x:v>
      </x:c>
      <x:c r="H8" s="43" t="str">
        <x:v>PASS</x:v>
      </x:c>
      <x:c r="I8" s="43" t="str">
        <x:v>Midea share price</x:v>
      </x:c>
      <x:c r="J8" s="43" t="str">
        <x:v>VALUATION</x:v>
      </x:c>
      <x:c r="K8" s="43" t="str">
        <x:v>2026-09-11</x:v>
      </x:c>
      <x:c r="L8" s="43" t="str">
        <x:v>https://query1.finance.yahoo.com/v8/finance/chart/000333.SZ</x:v>
      </x:c>
      <x:c r="M8" s="43" t="str">
        <x:v>2026-09-11</x:v>
      </x:c>
      <x:c r="N8" s="43" t="str">
        <x:v>Yahoo Finance chart endpoint</x:v>
      </x:c>
      <x:c r="O8" s="43" t="str">
        <x:v>CNY_PER_SHARE</x:v>
      </x:c>
      <x:c r="P8" s="43" t="n">
        <x:v>86.26</x:v>
      </x:c>
      <x:c r="Q8" s="43" t="str">
        <x:v>R3-SRC-PRICE</x:v>
      </x:c>
      <x:c r="R8" s="43" t="str">
        <x:v>PASS</x:v>
      </x:c>
      <x:c r="S8" s="43" t="str">
        <x:v>none</x:v>
      </x:c>
      <x:c r="T8" s="43" t="str">
        <x:v>PASS</x:v>
      </x:c>
    </x:row>
    <x:row r="9">
      <x:c r="A9" s="43" t="str">
        <x:v>2026-09-13</x:v>
      </x:c>
      <x:c r="B9" s="43" t="str">
        <x:v>BETA_ONLY</x:v>
      </x:c>
      <x:c r="C9" s="43" t="str">
        <x:v>sources/valuation/SHANGHAI_COMPOSITE_5Y_MONTHLY.json</x:v>
      </x:c>
      <x:c r="D9" s="43" t="str">
        <x:v>760941cef12327da63789fcf45bda33e58dc2adc1558235e88d886c318091d6b</x:v>
      </x:c>
      <x:c r="E9" s="43" t="str">
        <x:v>Pinned market-index beta series</x:v>
      </x:c>
      <x:c r="F9" s="43" t="str">
        <x:v>BETA</x:v>
      </x:c>
      <x:c r="G9" s="43" t="n">
        <x:v>0.78548427</x:v>
      </x:c>
      <x:c r="H9" s="43" t="str">
        <x:v>PASS</x:v>
      </x:c>
      <x:c r="I9" s="43" t="str">
        <x:v>Shanghai Composite monthly adjusted closes</x:v>
      </x:c>
      <x:c r="J9" s="43" t="str">
        <x:v>VALUATION</x:v>
      </x:c>
      <x:c r="K9" s="43" t="str">
        <x:v>2021-09_TO_2026-09</x:v>
      </x:c>
      <x:c r="L9" s="43" t="str">
        <x:v>https://query1.finance.yahoo.com/v8/finance/chart/000001.SS</x:v>
      </x:c>
      <x:c r="M9" s="43" t="str">
        <x:v>2026-09-11</x:v>
      </x:c>
      <x:c r="N9" s="43" t="str">
        <x:v>Yahoo Finance chart endpoint</x:v>
      </x:c>
      <x:c r="O9" s="43" t="str">
        <x:v>PAIRED_RETURNS</x:v>
      </x:c>
      <x:c r="P9" s="43" t="n">
        <x:v>60</x:v>
      </x:c>
      <x:c r="Q9" s="43" t="str">
        <x:v>R3-SRC-BETA-MKT</x:v>
      </x:c>
      <x:c r="R9" s="43" t="str">
        <x:v>PASS</x:v>
      </x:c>
      <x:c r="S9" s="43" t="str">
        <x:v>monthly simple returns</x:v>
      </x:c>
      <x:c r="T9" s="43" t="str">
        <x:v>PASS</x:v>
      </x:c>
    </x:row>
    <x:row r="10">
      <x:c r="A10" s="43" t="str">
        <x:v>2026-09-13</x:v>
      </x:c>
      <x:c r="B10" s="43" t="str">
        <x:v>CAPITAL_STRUCTURE</x:v>
      </x:c>
      <x:c r="C10" s="43" t="str">
        <x:v>sources/operating/H2_2026Q1_ACTUAL_FACTS.csv</x:v>
      </x:c>
      <x:c r="D10" s="43" t="str">
        <x:v>1bd7fd61ed298baa997042656461a6fb07386a3978b405bd3a29b54408175b13</x:v>
      </x:c>
      <x:c r="E10" s="43" t="str">
        <x:v>Certified 2026 Q1 actual facts</x:v>
      </x:c>
      <x:c r="F10" s="43" t="str">
        <x:v>RMB_MILLION</x:v>
      </x:c>
      <x:c r="G10" s="43" t="n">
        <x:v>53128.225</x:v>
      </x:c>
      <x:c r="H10" s="43" t="str">
        <x:v>PASS</x:v>
      </x:c>
      <x:c r="I10" s="43" t="str">
        <x:v>Latest certified actual debt</x:v>
      </x:c>
      <x:c r="J10" s="43" t="str">
        <x:v>VALUATION</x:v>
      </x:c>
      <x:c r="K10" s="43" t="str">
        <x:v>2026-03-31</x:v>
      </x:c>
      <x:c r="L10" s="43" t="str">
        <x:v>PACKAGE_LOCAL_CERTIFIED_SOURCE</x:v>
      </x:c>
      <x:c r="M10" s="43" t="str">
        <x:v>2026-04-30</x:v>
      </x:c>
      <x:c r="N10" s="43" t="str">
        <x:v>Midea Group</x:v>
      </x:c>
      <x:c r="O10" s="43" t="str">
        <x:v>RMB_MILLION</x:v>
      </x:c>
      <x:c r="P10" s="43" t="n">
        <x:v>53128.225</x:v>
      </x:c>
      <x:c r="Q10" s="43" t="str">
        <x:v>R3-SRC-DEBT-Q1</x:v>
      </x:c>
      <x:c r="R10" s="43" t="str">
        <x:v>PASS</x:v>
      </x:c>
      <x:c r="S10" s="43" t="str">
        <x:v>sum authorized interest-bearing debt lines</x:v>
      </x:c>
      <x:c r="T10" s="43" t="str">
        <x:v>PASS</x:v>
      </x:c>
    </x:row>
    <x:row r="11">
      <x:c r="A11" s="43" t="str">
        <x:v>2026-09-13</x:v>
      </x:c>
      <x:c r="B11" s="43" t="str">
        <x:v>CAPITAL_STRUCTURE</x:v>
      </x:c>
      <x:c r="C11" s="43" t="str">
        <x:v>sources/valuation/Midea_2026_CB_Completion_2026-05-13.pdf</x:v>
      </x:c>
      <x:c r="D11" s="43" t="str">
        <x:v>5062273901012d07b0cbf9aeab5be11d734bf65dbc1bb4ef67ca6e7ade01d6db</x:v>
      </x:c>
      <x:c r="E11" s="43" t="str">
        <x:v>Convertible bond completion announcement</x:v>
      </x:c>
      <x:c r="F11" s="43" t="str">
        <x:v>RMB_MILLION</x:v>
      </x:c>
      <x:c r="G11" s="43" t="n">
        <x:v>15386.85187407</x:v>
      </x:c>
      <x:c r="H11" s="43" t="str">
        <x:v>PASS</x:v>
      </x:c>
      <x:c r="I11" s="43" t="str">
        <x:v>Convertible bond initial carrying amount</x:v>
      </x:c>
      <x:c r="J11" s="43" t="str">
        <x:v>VALUATION</x:v>
      </x:c>
      <x:c r="K11" s="43" t="str">
        <x:v>2026-05-13</x:v>
      </x:c>
      <x:c r="L11" s="43" t="str">
        <x:v>PACKAGE_LOCAL_PRIMARY_PDF</x:v>
      </x:c>
      <x:c r="M11" s="43" t="str">
        <x:v>2026-05-13</x:v>
      </x:c>
      <x:c r="N11" s="43" t="str">
        <x:v>Midea Group</x:v>
      </x:c>
      <x:c r="O11" s="43" t="str">
        <x:v>RMB_MILLION</x:v>
      </x:c>
      <x:c r="P11" s="43" t="n">
        <x:v>15386.85187407</x:v>
      </x:c>
      <x:c r="Q11" s="43" t="str">
        <x:v>R3-SRC-DEBT-CB</x:v>
      </x:c>
      <x:c r="R11" s="43" t="str">
        <x:v>PASS</x:v>
      </x:c>
      <x:c r="S11" s="43" t="str">
        <x:v>certified liability-component schedule</x:v>
      </x:c>
      <x:c r="T11" s="43" t="str">
        <x:v>PASS</x:v>
      </x:c>
    </x:row>
    <x:row r="12">
      <x:c r="A12" s="43" t="str">
        <x:v>2026-09-13</x:v>
      </x:c>
      <x:c r="B12" s="43" t="str">
        <x:v>EPS_AND_PER_SHARE</x:v>
      </x:c>
      <x:c r="C12" s="43" t="str">
        <x:v>model/H3B_ATTEMPT005_FINAL_GATE.json</x:v>
      </x:c>
      <x:c r="D12" s="43" t="str">
        <x:v>f8809ebbe1925ec897cdb25bb749a487da1956b5159751af27c838eaa916e44b</x:v>
      </x:c>
      <x:c r="E12" s="43" t="str">
        <x:v>G25 audited accounting population</x:v>
      </x:c>
      <x:c r="F12" s="43" t="str">
        <x:v>MILLION_SHARES</x:v>
      </x:c>
      <x:c r="G12" s="43" t="n">
        <x:v>7402.51366</x:v>
      </x:c>
      <x:c r="H12" s="43" t="str">
        <x:v>PASS</x:v>
      </x:c>
      <x:c r="I12" s="43" t="str">
        <x:v>EPS/accounting share population</x:v>
      </x:c>
      <x:c r="J12" s="43" t="str">
        <x:v>MODEL_AND_VALUATION</x:v>
      </x:c>
      <x:c r="K12" s="43" t="str">
        <x:v>2026-08-20</x:v>
      </x:c>
      <x:c r="L12" s="43" t="str">
        <x:v>PACKAGE_LOCAL_CERTIFIED_AUTHORITY</x:v>
      </x:c>
      <x:c r="M12" s="43" t="str">
        <x:v>2026-08-20</x:v>
      </x:c>
      <x:c r="N12" s="43" t="str">
        <x:v>Midea Group / G25</x:v>
      </x:c>
      <x:c r="O12" s="43" t="str">
        <x:v>SHARES</x:v>
      </x:c>
      <x:c r="P12" s="43" t="n">
        <x:v>7402513660</x:v>
      </x:c>
      <x:c r="Q12" s="43" t="str">
        <x:v>R3-SRC-SHARES</x:v>
      </x:c>
      <x:c r="R12" s="43" t="str">
        <x:v>PASS</x:v>
      </x:c>
      <x:c r="S12" s="43" t="str">
        <x:v>/1,000,000</x:v>
      </x:c>
      <x:c r="T12" s="43" t="str">
        <x:v>PASS</x:v>
      </x:c>
    </x:row>
    <x:row r="13">
      <x:c r="A13" s="43" t="str">
        <x:v>2026-09-13</x:v>
      </x:c>
      <x:c r="B13" s="43" t="str">
        <x:v>ECONOMIC_NWC</x:v>
      </x:c>
      <x:c r="C13" s="43" t="str">
        <x:v>sources/operating/annual_reports/2025/Midea_2025_Annual_Report_CAS_CN.pdf</x:v>
      </x:c>
      <x:c r="D13" s="43" t="str">
        <x:v>c413ed1b993290ec98b254af4bf6ad69edb5a2230bbaec1b15702119b24d4f5c</x:v>
      </x:c>
      <x:c r="E13" s="43" t="str">
        <x:v>2025 Annual Report CAS Chinese</x:v>
      </x:c>
      <x:c r="F13" s="43" t="str">
        <x:v>RMB_MILLION</x:v>
      </x:c>
      <x:c r="G13" s="43" t="n">
        <x:v>5246.763</x:v>
      </x:c>
      <x:c r="H13" s="43" t="str">
        <x:v>PASS</x:v>
      </x:c>
      <x:c r="I13" s="43" t="str">
        <x:v>Notes receivable</x:v>
      </x:c>
      <x:c r="J13" s="43" t="str">
        <x:v>MODEL_AND_VALUATION</x:v>
      </x:c>
      <x:c r="K13" s="43" t="str">
        <x:v>2025-12-31</x:v>
      </x:c>
      <x:c r="L13" s="43" t="str">
        <x:v>PACKAGE_LOCAL_PRIMARY_PDF</x:v>
      </x:c>
      <x:c r="M13" s="43" t="str">
        <x:v>2026-03-31</x:v>
      </x:c>
      <x:c r="N13" s="43" t="str">
        <x:v>Midea Group</x:v>
      </x:c>
      <x:c r="O13" s="43" t="str">
        <x:v>RMB_MILLION</x:v>
      </x:c>
      <x:c r="P13" s="43" t="n">
        <x:v>5246.763</x:v>
      </x:c>
      <x:c r="Q13" s="43" t="str">
        <x:v>R3-SRC-NOTES-REC</x:v>
      </x:c>
      <x:c r="R13" s="43" t="str">
        <x:v>PASS</x:v>
      </x:c>
      <x:c r="S13" s="43" t="str">
        <x:v>2025 CAS note 4: ordinary sales/service bank and commercial acceptance bills, net of loss allowance</x:v>
      </x:c>
      <x:c r="T13" s="43" t="str">
        <x:v>PASS</x:v>
      </x:c>
    </x:row>
    <x:row r="14">
      <x:c r="A14" s="43" t="str">
        <x:v>2026-09-13</x:v>
      </x:c>
      <x:c r="B14" s="43" t="str">
        <x:v>ECONOMIC_NWC</x:v>
      </x:c>
      <x:c r="C14" s="43" t="str">
        <x:v>sources/operating/annual_reports/2025/Midea_2025_Annual_Report_CAS_CN.pdf</x:v>
      </x:c>
      <x:c r="D14" s="43" t="str">
        <x:v>c413ed1b993290ec98b254af4bf6ad69edb5a2230bbaec1b15702119b24d4f5c</x:v>
      </x:c>
      <x:c r="E14" s="43" t="str">
        <x:v>2025 Annual Report CAS Chinese</x:v>
      </x:c>
      <x:c r="F14" s="43" t="str">
        <x:v>RMB_MILLION</x:v>
      </x:c>
      <x:c r="G14" s="43" t="n">
        <x:v>14935.344</x:v>
      </x:c>
      <x:c r="H14" s="43" t="str">
        <x:v>PASS</x:v>
      </x:c>
      <x:c r="I14" s="43" t="str">
        <x:v>Receivables financing</x:v>
      </x:c>
      <x:c r="J14" s="43" t="str">
        <x:v>MODEL_AND_VALUATION</x:v>
      </x:c>
      <x:c r="K14" s="43" t="str">
        <x:v>2025-12-31</x:v>
      </x:c>
      <x:c r="L14" s="43" t="str">
        <x:v>PACKAGE_LOCAL_PRIMARY_PDF</x:v>
      </x:c>
      <x:c r="M14" s="43" t="str">
        <x:v>2026-03-31</x:v>
      </x:c>
      <x:c r="N14" s="43" t="str">
        <x:v>Midea Group</x:v>
      </x:c>
      <x:c r="O14" s="43" t="str">
        <x:v>RMB_MILLION</x:v>
      </x:c>
      <x:c r="P14" s="43" t="n">
        <x:v>14935.344</x:v>
      </x:c>
      <x:c r="Q14" s="43" t="str">
        <x:v>R3-SRC-REC-FIN</x:v>
      </x:c>
      <x:c r="R14" s="43" t="str">
        <x:v>PASS</x:v>
      </x:c>
      <x:c r="S14" s="43" t="str">
        <x:v>2025 CAS note: trade receivables and bank acceptance bills managed by transfer/discount/endorsement</x:v>
      </x:c>
      <x:c r="T14" s="43" t="str">
        <x:v>PASS</x:v>
      </x:c>
    </x:row>
    <x:row r="15">
      <x:c r="A15" s="43" t="str">
        <x:v>2026-09-13</x:v>
      </x:c>
      <x:c r="B15" s="43" t="str">
        <x:v>ECONOMIC_NWC</x:v>
      </x:c>
      <x:c r="C15" s="43" t="str">
        <x:v>sources/operating/annual_reports/2025/Midea_2025_Annual_Report_CAS_CN.pdf</x:v>
      </x:c>
      <x:c r="D15" s="43" t="str">
        <x:v>c413ed1b993290ec98b254af4bf6ad69edb5a2230bbaec1b15702119b24d4f5c</x:v>
      </x:c>
      <x:c r="E15" s="43" t="str">
        <x:v>2025 Annual Report CAS Chinese</x:v>
      </x:c>
      <x:c r="F15" s="43" t="str">
        <x:v>RMB_MILLION</x:v>
      </x:c>
      <x:c r="G15" s="43" t="n">
        <x:v>20747.946</x:v>
      </x:c>
      <x:c r="H15" s="43" t="str">
        <x:v>PASS</x:v>
      </x:c>
      <x:c r="I15" s="43" t="str">
        <x:v>Other current assets operating portion</x:v>
      </x:c>
      <x:c r="J15" s="43" t="str">
        <x:v>MODEL_AND_VALUATION</x:v>
      </x:c>
      <x:c r="K15" s="43" t="str">
        <x:v>2025-12-31</x:v>
      </x:c>
      <x:c r="L15" s="43" t="str">
        <x:v>PACKAGE_LOCAL_PRIMARY_PDF</x:v>
      </x:c>
      <x:c r="M15" s="43" t="str">
        <x:v>2026-03-31</x:v>
      </x:c>
      <x:c r="N15" s="43" t="str">
        <x:v>Midea Group</x:v>
      </x:c>
      <x:c r="O15" s="43" t="str">
        <x:v>RMB_MILLION</x:v>
      </x:c>
      <x:c r="P15" s="43" t="n">
        <x:v>25376.475</x:v>
      </x:c>
      <x:c r="Q15" s="43" t="str">
        <x:v>R3-SRC-OCA-OPERATING</x:v>
      </x:c>
      <x:c r="R15" s="43" t="str">
        <x:v>PASS</x:v>
      </x:c>
      <x:c r="S15" s="43" t="str">
        <x:v>Deduct fixed-income treasury products 1427.134 and hedge/margin 3201.395</x:v>
      </x:c>
      <x:c r="T15" s="43" t="str">
        <x:v>PASS</x:v>
      </x:c>
    </x:row>
    <x:row r="16">
      <x:c r="A16" s="43" t="str">
        <x:v>2026-09-13</x:v>
      </x:c>
      <x:c r="B16" s="43" t="str">
        <x:v>EV_TO_EQUITY_BRIDGE</x:v>
      </x:c>
      <x:c r="C16" s="43" t="str">
        <x:v>sources/operating/annual_reports/2025/Midea_2025_Annual_Report_CAS_CN.pdf</x:v>
      </x:c>
      <x:c r="D16" s="43" t="str">
        <x:v>c413ed1b993290ec98b254af4bf6ad69edb5a2230bbaec1b15702119b24d4f5c</x:v>
      </x:c>
      <x:c r="E16" s="43" t="str">
        <x:v>2025 Annual Report CAS Chinese</x:v>
      </x:c>
      <x:c r="F16" s="43" t="str">
        <x:v>RMB_MILLION</x:v>
      </x:c>
      <x:c r="G16" s="43" t="n">
        <x:v>155362.528</x:v>
      </x:c>
      <x:c r="H16" s="43" t="str">
        <x:v>PASS</x:v>
      </x:c>
      <x:c r="I16" s="43" t="str">
        <x:v>Current treasury products</x:v>
      </x:c>
      <x:c r="J16" s="43" t="str">
        <x:v>MODEL_AND_VALUATION</x:v>
      </x:c>
      <x:c r="K16" s="43" t="str">
        <x:v>2025-12-31</x:v>
      </x:c>
      <x:c r="L16" s="43" t="str">
        <x:v>PACKAGE_LOCAL_PRIMARY_PDF</x:v>
      </x:c>
      <x:c r="M16" s="43" t="str">
        <x:v>2026-03-31</x:v>
      </x:c>
      <x:c r="N16" s="43" t="str">
        <x:v>Midea Group</x:v>
      </x:c>
      <x:c r="O16" s="43" t="str">
        <x:v>RMB_MILLION</x:v>
      </x:c>
      <x:c r="P16" s="43" t="n">
        <x:v>155618.201</x:v>
      </x:c>
      <x:c r="Q16" s="43" t="str">
        <x:v>R3-SRC-CPNCA-TREASURY</x:v>
      </x:c>
      <x:c r="R16" s="43" t="str">
        <x:v>PASS</x:v>
      </x:c>
      <x:c r="S16" s="43" t="str">
        <x:v>Deduct current long-term receivable 255.673</x:v>
      </x:c>
      <x:c r="T16" s="43" t="str">
        <x:v>PASS</x:v>
      </x:c>
    </x:row>
    <x:row r="17">
      <x:c r="A17" s="43" t="str">
        <x:v>2026-09-13</x:v>
      </x:c>
      <x:c r="B17" s="43" t="str">
        <x:v>ECONOMIC_NWC</x:v>
      </x:c>
      <x:c r="C17" s="43" t="str">
        <x:v>sources/operating/annual_reports/2025/Midea_2025_Annual_Report_CAS_CN.pdf</x:v>
      </x:c>
      <x:c r="D17" s="43" t="str">
        <x:v>c413ed1b993290ec98b254af4bf6ad69edb5a2230bbaec1b15702119b24d4f5c</x:v>
      </x:c>
      <x:c r="E17" s="43" t="str">
        <x:v>2025 Annual Report CAS Chinese</x:v>
      </x:c>
      <x:c r="F17" s="43" t="str">
        <x:v>RMB_MILLION</x:v>
      </x:c>
      <x:c r="G17" s="43" t="n">
        <x:v>2678.872</x:v>
      </x:c>
      <x:c r="H17" s="43" t="str">
        <x:v>PASS</x:v>
      </x:c>
      <x:c r="I17" s="43" t="str">
        <x:v>Other taxes payable</x:v>
      </x:c>
      <x:c r="J17" s="43" t="str">
        <x:v>MODEL_AND_VALUATION</x:v>
      </x:c>
      <x:c r="K17" s="43" t="str">
        <x:v>2025-12-31</x:v>
      </x:c>
      <x:c r="L17" s="43" t="str">
        <x:v>PACKAGE_LOCAL_PRIMARY_PDF</x:v>
      </x:c>
      <x:c r="M17" s="43" t="str">
        <x:v>2026-03-31</x:v>
      </x:c>
      <x:c r="N17" s="43" t="str">
        <x:v>Midea Group</x:v>
      </x:c>
      <x:c r="O17" s="43" t="str">
        <x:v>RMB_MILLION</x:v>
      </x:c>
      <x:c r="P17" s="43" t="n">
        <x:v>7164.093</x:v>
      </x:c>
      <x:c r="Q17" s="43" t="str">
        <x:v>R3-SRC-TAX-OPERATING</x:v>
      </x:c>
      <x:c r="R17" s="43" t="str">
        <x:v>PASS</x:v>
      </x:c>
      <x:c r="S17" s="43" t="str">
        <x:v>Deduct current income-tax payable 4485.221</x:v>
      </x:c>
      <x:c r="T17" s="43" t="str">
        <x:v>PASS</x:v>
      </x:c>
    </x:row>
    <x:row r="18">
      <x:c r="A18" s="43" t="str">
        <x:v>2026-09-13</x:v>
      </x:c>
      <x:c r="B18" s="43" t="str">
        <x:v>ECONOMIC_NWC</x:v>
      </x:c>
      <x:c r="C18" s="43" t="str">
        <x:v>sources/operating/annual_reports/2025/Midea_2025_Annual_Report_CAS_CN.pdf</x:v>
      </x:c>
      <x:c r="D18" s="43" t="str">
        <x:v>c413ed1b993290ec98b254af4bf6ad69edb5a2230bbaec1b15702119b24d4f5c</x:v>
      </x:c>
      <x:c r="E18" s="43" t="str">
        <x:v>2025 Annual Report CAS Chinese</x:v>
      </x:c>
      <x:c r="F18" s="43" t="str">
        <x:v>RMB_MILLION</x:v>
      </x:c>
      <x:c r="G18" s="43" t="n">
        <x:v>92515.939</x:v>
      </x:c>
      <x:c r="H18" s="43" t="str">
        <x:v>PASS</x:v>
      </x:c>
      <x:c r="I18" s="43" t="str">
        <x:v>Other current liabilities operating portion</x:v>
      </x:c>
      <x:c r="J18" s="43" t="str">
        <x:v>MODEL_AND_VALUATION</x:v>
      </x:c>
      <x:c r="K18" s="43" t="str">
        <x:v>2025-12-31</x:v>
      </x:c>
      <x:c r="L18" s="43" t="str">
        <x:v>PACKAGE_LOCAL_PRIMARY_PDF</x:v>
      </x:c>
      <x:c r="M18" s="43" t="str">
        <x:v>2026-03-31</x:v>
      </x:c>
      <x:c r="N18" s="43" t="str">
        <x:v>Midea Group</x:v>
      </x:c>
      <x:c r="O18" s="43" t="str">
        <x:v>RMB_MILLION</x:v>
      </x:c>
      <x:c r="P18" s="43" t="n">
        <x:v>92537.419</x:v>
      </x:c>
      <x:c r="Q18" s="43" t="str">
        <x:v>R3-SRC-OCL-OPERATING</x:v>
      </x:c>
      <x:c r="R18" s="43" t="str">
        <x:v>PASS</x:v>
      </x:c>
      <x:c r="S18" s="43" t="str">
        <x:v>Deduct hedge liability 21.480</x:v>
      </x:c>
      <x:c r="T18" s="43" t="str">
        <x:v>PASS</x:v>
      </x:c>
    </x:row>
    <x:row r="19">
      <x:c r="A19" s="43" t="str">
        <x:v>2026-09-13</x:v>
      </x:c>
      <x:c r="B19" s="43" t="str">
        <x:v>EV_TO_EQUITY_BRIDGE</x:v>
      </x:c>
      <x:c r="C19" s="43" t="str">
        <x:v>sources/operating/annual_reports/2025/Midea_2025_Annual_Report_CAS_CN.pdf</x:v>
      </x:c>
      <x:c r="D19" s="43" t="str">
        <x:v>c413ed1b993290ec98b254af4bf6ad69edb5a2230bbaec1b15702119b24d4f5c</x:v>
      </x:c>
      <x:c r="E19" s="43" t="str">
        <x:v>2025 Annual Report CAS Chinese</x:v>
      </x:c>
      <x:c r="F19" s="43" t="str">
        <x:v>RMB_MILLION</x:v>
      </x:c>
      <x:c r="G19" s="43" t="n">
        <x:v>706.439</x:v>
      </x:c>
      <x:c r="H19" s="43" t="str">
        <x:v>PASS</x:v>
      </x:c>
      <x:c r="I19" s="43" t="str">
        <x:v>Trading financial liability</x:v>
      </x:c>
      <x:c r="J19" s="43" t="str">
        <x:v>MODEL_AND_VALUATION</x:v>
      </x:c>
      <x:c r="K19" s="43" t="str">
        <x:v>2025-12-31</x:v>
      </x:c>
      <x:c r="L19" s="43" t="str">
        <x:v>PACKAGE_LOCAL_PRIMARY_PDF</x:v>
      </x:c>
      <x:c r="M19" s="43" t="str">
        <x:v>2026-03-31</x:v>
      </x:c>
      <x:c r="N19" s="43" t="str">
        <x:v>Midea Group</x:v>
      </x:c>
      <x:c r="O19" s="43" t="str">
        <x:v>RMB_MILLION</x:v>
      </x:c>
      <x:c r="P19" s="43" t="n">
        <x:v>706.439</x:v>
      </x:c>
      <x:c r="Q19" s="43" t="str">
        <x:v>R3-SRC-TRADING-LIAB</x:v>
      </x:c>
      <x:c r="R19" s="43" t="str">
        <x:v>PASS</x:v>
      </x:c>
      <x:c r="S19" s="43" t="str">
        <x:v>Fund-investor liability; financing classification</x:v>
      </x:c>
      <x:c r="T19" s="43" t="str">
        <x:v>PASS</x:v>
      </x:c>
    </x:row>
    <x:row r="20">
      <x:c r="A20" s="43" t="str">
        <x:v>2026-09-13</x:v>
      </x:c>
      <x:c r="B20" s="43" t="str">
        <x:v>H6_PERIOD_ALIGNED_COMPS</x:v>
      </x:c>
      <x:c r="C20" s="43" t="str">
        <x:v>sources/operating/H2_2026Q1_ACTUAL_FACTS.csv</x:v>
      </x:c>
      <x:c r="D20" s="43" t="str">
        <x:v>1bd7fd61ed298baa997042656461a6fb07386a3978b405bd3a29b54408175b13</x:v>
      </x:c>
      <x:c r="E20" s="43" t="str">
        <x:v>Certified 2025 annual and 2026 Q1 facts</x:v>
      </x:c>
      <x:c r="F20" s="43" t="str">
        <x:v>RMB_MILLION</x:v>
      </x:c>
      <x:c r="G20" s="43" t="n">
        <x:v>459711.794</x:v>
      </x:c>
      <x:c r="H20" s="43" t="str">
        <x:v>PASS</x:v>
      </x:c>
      <x:c r="I20" s="43" t="str">
        <x:v>Midea comparable Revenue</x:v>
      </x:c>
      <x:c r="J20" s="43" t="str">
        <x:v>VALUATION</x:v>
      </x:c>
      <x:c r="K20" s="43" t="str">
        <x:v>2026-03-31</x:v>
      </x:c>
      <x:c r="L20" s="43" t="str">
        <x:v>PACKAGE_LOCAL_CERTIFIED_SOURCE</x:v>
      </x:c>
      <x:c r="M20" s="43" t="str">
        <x:v>2026-04-30</x:v>
      </x:c>
      <x:c r="N20" s="43" t="str">
        <x:v>Midea Group</x:v>
      </x:c>
      <x:c r="O20" s="43" t="str">
        <x:v>RMB_MILLION</x:v>
      </x:c>
      <x:c r="P20" s="43" t="str">
        <x:v>2025A - 2025Q1 + 2026Q1</x:v>
      </x:c>
      <x:c r="Q20" s="43" t="str">
        <x:v>R3-SRC-MIDEA-LTM-01</x:v>
      </x:c>
      <x:c r="R20" s="43" t="str">
        <x:v>PASS</x:v>
      </x:c>
      <x:c r="S20" s="43" t="str">
        <x:v>2025A - 2025Q1 + 2026Q1</x:v>
      </x:c>
      <x:c r="T20" s="43" t="str">
        <x:v>PASS</x:v>
      </x:c>
    </x:row>
    <x:row r="21">
      <x:c r="A21" s="43" t="str">
        <x:v>2026-09-13</x:v>
      </x:c>
      <x:c r="B21" s="43" t="str">
        <x:v>H6_PERIOD_ALIGNED_COMPS</x:v>
      </x:c>
      <x:c r="C21" s="43" t="str">
        <x:v>sources/operating/H2_2026Q1_ACTUAL_FACTS.csv</x:v>
      </x:c>
      <x:c r="D21" s="43" t="str">
        <x:v>1bd7fd61ed298baa997042656461a6fb07386a3978b405bd3a29b54408175b13</x:v>
      </x:c>
      <x:c r="E21" s="43" t="str">
        <x:v>Certified 2025 annual and 2026 Q1 facts</x:v>
      </x:c>
      <x:c r="F21" s="43" t="str">
        <x:v>RMB_MILLION</x:v>
      </x:c>
      <x:c r="G21" s="43" t="n">
        <x:v>52911.069</x:v>
      </x:c>
      <x:c r="H21" s="43" t="str">
        <x:v>PASS</x:v>
      </x:c>
      <x:c r="I21" s="43" t="str">
        <x:v>Midea comparable EBIT</x:v>
      </x:c>
      <x:c r="J21" s="43" t="str">
        <x:v>VALUATION</x:v>
      </x:c>
      <x:c r="K21" s="43" t="str">
        <x:v>2026-03-31</x:v>
      </x:c>
      <x:c r="L21" s="43" t="str">
        <x:v>PACKAGE_LOCAL_CERTIFIED_SOURCE</x:v>
      </x:c>
      <x:c r="M21" s="43" t="str">
        <x:v>2026-04-30</x:v>
      </x:c>
      <x:c r="N21" s="43" t="str">
        <x:v>Midea Group</x:v>
      </x:c>
      <x:c r="O21" s="43" t="str">
        <x:v>RMB_MILLION</x:v>
      </x:c>
      <x:c r="P21" s="43" t="str">
        <x:v>2025A operating profit - 2025Q1 + 2026Q1</x:v>
      </x:c>
      <x:c r="Q21" s="43" t="str">
        <x:v>R3-SRC-MIDEA-LTM-02</x:v>
      </x:c>
      <x:c r="R21" s="43" t="str">
        <x:v>PASS</x:v>
      </x:c>
      <x:c r="S21" s="43" t="str">
        <x:v>2025A operating profit - 2025Q1 + 2026Q1</x:v>
      </x:c>
      <x:c r="T21" s="43" t="str">
        <x:v>PASS</x:v>
      </x:c>
    </x:row>
    <x:row r="22">
      <x:c r="A22" s="43" t="str">
        <x:v>2026-09-13</x:v>
      </x:c>
      <x:c r="B22" s="43" t="str">
        <x:v>H6_PERIOD_ALIGNED_COMPS</x:v>
      </x:c>
      <x:c r="C22" s="43" t="str">
        <x:v>sources/operating/H2_2026Q1_ACTUAL_FACTS.csv</x:v>
      </x:c>
      <x:c r="D22" s="43" t="str">
        <x:v>1bd7fd61ed298baa997042656461a6fb07386a3978b405bd3a29b54408175b13</x:v>
      </x:c>
      <x:c r="E22" s="43" t="str">
        <x:v>Certified 2025 annual and 2026 Q1 facts</x:v>
      </x:c>
      <x:c r="F22" s="43" t="str">
        <x:v>RMB_MILLION</x:v>
      </x:c>
      <x:c r="G22" s="43" t="str"/>
      <x:c r="H22" s="43" t="str">
        <x:v>PASS</x:v>
      </x:c>
      <x:c r="I22" s="43" t="str">
        <x:v>Midea comparable EBITDA</x:v>
      </x:c>
      <x:c r="J22" s="43" t="str">
        <x:v>VALUATION</x:v>
      </x:c>
      <x:c r="K22" s="43" t="str">
        <x:v>2026-03-31</x:v>
      </x:c>
      <x:c r="L22" s="43" t="str">
        <x:v>PACKAGE_LOCAL_CERTIFIED_SOURCE</x:v>
      </x:c>
      <x:c r="M22" s="43" t="str">
        <x:v>2026-04-30</x:v>
      </x:c>
      <x:c r="N22" s="43" t="str">
        <x:v>Midea Group</x:v>
      </x:c>
      <x:c r="O22" s="43" t="str">
        <x:v>RMB_MILLION</x:v>
      </x:c>
      <x:c r="P22" s="43" t="str">
        <x:v>No compatible Q1 D&amp;A source; excluded</x:v>
      </x:c>
      <x:c r="Q22" s="43" t="str">
        <x:v>R3-SRC-MIDEA-LTM-03</x:v>
      </x:c>
      <x:c r="R22" s="43" t="str">
        <x:v>EXCLUDED</x:v>
      </x:c>
      <x:c r="S22" s="43" t="str">
        <x:v>No compatible Q1 D&amp;A source; excluded</x:v>
      </x:c>
      <x:c r="T22" s="43" t="str">
        <x:v>PASS</x:v>
      </x:c>
    </x:row>
    <x:row r="23">
      <x:c r="A23" s="43" t="str">
        <x:v>2026-09-13</x:v>
      </x:c>
      <x:c r="B23" s="43" t="str">
        <x:v>H6_PERIOD_ALIGNED_COMPS</x:v>
      </x:c>
      <x:c r="C23" s="43" t="str">
        <x:v>sources/operating/H2_2026Q1_ACTUAL_FACTS.csv</x:v>
      </x:c>
      <x:c r="D23" s="43" t="str">
        <x:v>1bd7fd61ed298baa997042656461a6fb07386a3978b405bd3a29b54408175b13</x:v>
      </x:c>
      <x:c r="E23" s="43" t="str">
        <x:v>Certified 2025 annual and 2026 Q1 facts</x:v>
      </x:c>
      <x:c r="F23" s="43" t="str">
        <x:v>RMB_MILLION</x:v>
      </x:c>
      <x:c r="G23" s="43" t="n">
        <x:v>44197.734</x:v>
      </x:c>
      <x:c r="H23" s="43" t="str">
        <x:v>PASS</x:v>
      </x:c>
      <x:c r="I23" s="43" t="str">
        <x:v>Midea comparable Attributable_NI</x:v>
      </x:c>
      <x:c r="J23" s="43" t="str">
        <x:v>VALUATION</x:v>
      </x:c>
      <x:c r="K23" s="43" t="str">
        <x:v>2026-03-31</x:v>
      </x:c>
      <x:c r="L23" s="43" t="str">
        <x:v>PACKAGE_LOCAL_CERTIFIED_SOURCE</x:v>
      </x:c>
      <x:c r="M23" s="43" t="str">
        <x:v>2026-04-30</x:v>
      </x:c>
      <x:c r="N23" s="43" t="str">
        <x:v>Midea Group</x:v>
      </x:c>
      <x:c r="O23" s="43" t="str">
        <x:v>RMB_MILLION</x:v>
      </x:c>
      <x:c r="P23" s="43" t="str">
        <x:v>2025A - 2025Q1 + 2026Q1</x:v>
      </x:c>
      <x:c r="Q23" s="43" t="str">
        <x:v>R3-SRC-MIDEA-LTM-04</x:v>
      </x:c>
      <x:c r="R23" s="43" t="str">
        <x:v>PASS</x:v>
      </x:c>
      <x:c r="S23" s="43" t="str">
        <x:v>2025A - 2025Q1 + 2026Q1</x:v>
      </x:c>
      <x:c r="T23" s="43" t="str">
        <x:v>PASS</x:v>
      </x:c>
    </x:row>
    <x:row r="24">
      <x:c r="A24" s="43" t="str">
        <x:v>2026-09-13</x:v>
      </x:c>
      <x:c r="B24" s="43" t="str">
        <x:v>H6_PERIOD_ALIGNED_COMPS</x:v>
      </x:c>
      <x:c r="C24" s="43" t="str">
        <x:v>sources/operating/H2_2026Q1_ACTUAL_FACTS.csv</x:v>
      </x:c>
      <x:c r="D24" s="43" t="str">
        <x:v>1bd7fd61ed298baa997042656461a6fb07386a3978b405bd3a29b54408175b13</x:v>
      </x:c>
      <x:c r="E24" s="43" t="str">
        <x:v>Certified 2025 annual and 2026 Q1 facts</x:v>
      </x:c>
      <x:c r="F24" s="43" t="str">
        <x:v>RMB_MILLION</x:v>
      </x:c>
      <x:c r="G24" s="43" t="n">
        <x:v>232307.706</x:v>
      </x:c>
      <x:c r="H24" s="43" t="str">
        <x:v>PASS</x:v>
      </x:c>
      <x:c r="I24" s="43" t="str">
        <x:v>Midea comparable Book_Equity</x:v>
      </x:c>
      <x:c r="J24" s="43" t="str">
        <x:v>VALUATION</x:v>
      </x:c>
      <x:c r="K24" s="43" t="str">
        <x:v>2026-03-31</x:v>
      </x:c>
      <x:c r="L24" s="43" t="str">
        <x:v>PACKAGE_LOCAL_CERTIFIED_SOURCE</x:v>
      </x:c>
      <x:c r="M24" s="43" t="str">
        <x:v>2026-04-30</x:v>
      </x:c>
      <x:c r="N24" s="43" t="str">
        <x:v>Midea Group</x:v>
      </x:c>
      <x:c r="O24" s="43" t="str">
        <x:v>RMB_MILLION</x:v>
      </x:c>
      <x:c r="P24" s="43" t="str">
        <x:v>Certified 2026Q1 parent equity</x:v>
      </x:c>
      <x:c r="Q24" s="43" t="str">
        <x:v>R3-SRC-MIDEA-LTM-05</x:v>
      </x:c>
      <x:c r="R24" s="43" t="str">
        <x:v>PASS</x:v>
      </x:c>
      <x:c r="S24" s="43" t="str">
        <x:v>Certified 2026Q1 parent equity</x:v>
      </x:c>
      <x:c r="T24" s="43" t="str">
        <x:v>PASS</x:v>
      </x:c>
    </x:row>
    <x:row r="25">
      <x:c r="A25" s="43" t="str">
        <x:v>2026-09-13</x:v>
      </x:c>
      <x:c r="B25" s="43" t="str">
        <x:v>EV_TO_EQUITY_CASH_CLASSIFICATION</x:v>
      </x:c>
      <x:c r="C25" s="43" t="str">
        <x:v>sources/operating/H1_HISTORICAL_STATEMENT_MATRIX.csv</x:v>
      </x:c>
      <x:c r="D25" s="43" t="str">
        <x:v>9c07c4fe4c6100a29f975017d5831241003f47bd9eeaf1807493b82d407350c3</x:v>
      </x:c>
      <x:c r="E25" s="43" t="str">
        <x:v>Certified H1 historical matrix</x:v>
      </x:c>
      <x:c r="F25" s="43" t="str">
        <x:v>RMB_MILLION</x:v>
      </x:c>
      <x:c r="G25" s="43" t="n">
        <x:v>284221.249</x:v>
      </x:c>
      <x:c r="H25" s="43" t="str">
        <x:v>PASS</x:v>
      </x:c>
      <x:c r="I25" s="43" t="str">
        <x:v>Operating cash reserve Revenue</x:v>
      </x:c>
      <x:c r="J25" s="43" t="str">
        <x:v>VALUATION</x:v>
      </x:c>
      <x:c r="K25" s="43" t="n">
        <x:v>2020</x:v>
      </x:c>
      <x:c r="L25" s="43" t="str">
        <x:v>PACKAGE_LOCAL_CERTIFIED_SOURCE</x:v>
      </x:c>
      <x:c r="M25" s="43" t="str">
        <x:v>2026-03-31</x:v>
      </x:c>
      <x:c r="N25" s="43" t="str">
        <x:v>Midea Group</x:v>
      </x:c>
      <x:c r="O25" s="43" t="str">
        <x:v>RMB_MILLION</x:v>
      </x:c>
      <x:c r="P25" s="43" t="n">
        <x:v>284221.249</x:v>
      </x:c>
      <x:c r="Q25" s="43" t="str">
        <x:v>R3-SRC-CASH-2020-REVENUE</x:v>
      </x:c>
      <x:c r="R25" s="43" t="str">
        <x:v>PASS</x:v>
      </x:c>
      <x:c r="S25" s="43" t="str">
        <x:v>cash/revenue ratio</x:v>
      </x:c>
      <x:c r="T25" s="43" t="str">
        <x:v>PASS</x:v>
      </x:c>
    </x:row>
    <x:row r="26">
      <x:c r="A26" s="43" t="str">
        <x:v>2026-09-13</x:v>
      </x:c>
      <x:c r="B26" s="43" t="str">
        <x:v>EV_TO_EQUITY_CASH_CLASSIFICATION</x:v>
      </x:c>
      <x:c r="C26" s="43" t="str">
        <x:v>sources/operating/H1_HISTORICAL_STATEMENT_MATRIX.csv</x:v>
      </x:c>
      <x:c r="D26" s="43" t="str">
        <x:v>9c07c4fe4c6100a29f975017d5831241003f47bd9eeaf1807493b82d407350c3</x:v>
      </x:c>
      <x:c r="E26" s="43" t="str">
        <x:v>Certified H1 historical matrix</x:v>
      </x:c>
      <x:c r="F26" s="43" t="str">
        <x:v>RMB_MILLION</x:v>
      </x:c>
      <x:c r="G26" s="43" t="n">
        <x:v>23548.508</x:v>
      </x:c>
      <x:c r="H26" s="43" t="str">
        <x:v>PASS</x:v>
      </x:c>
      <x:c r="I26" s="43" t="str">
        <x:v>Operating cash reserve Cash_Equivalents</x:v>
      </x:c>
      <x:c r="J26" s="43" t="str">
        <x:v>VALUATION</x:v>
      </x:c>
      <x:c r="K26" s="43" t="n">
        <x:v>2020</x:v>
      </x:c>
      <x:c r="L26" s="43" t="str">
        <x:v>PACKAGE_LOCAL_CERTIFIED_SOURCE</x:v>
      </x:c>
      <x:c r="M26" s="43" t="str">
        <x:v>2026-03-31</x:v>
      </x:c>
      <x:c r="N26" s="43" t="str">
        <x:v>Midea Group</x:v>
      </x:c>
      <x:c r="O26" s="43" t="str">
        <x:v>RMB_MILLION</x:v>
      </x:c>
      <x:c r="P26" s="43" t="n">
        <x:v>23548.508</x:v>
      </x:c>
      <x:c r="Q26" s="43" t="str">
        <x:v>R3-SRC-CASH-2020-CASH_EQUIVALENTS</x:v>
      </x:c>
      <x:c r="R26" s="43" t="str">
        <x:v>PASS</x:v>
      </x:c>
      <x:c r="S26" s="43" t="str">
        <x:v>cash/revenue ratio</x:v>
      </x:c>
      <x:c r="T26" s="43" t="str">
        <x:v>PASS</x:v>
      </x:c>
    </x:row>
    <x:row r="27">
      <x:c r="A27" s="43" t="str">
        <x:v>2026-09-13</x:v>
      </x:c>
      <x:c r="B27" s="43" t="str">
        <x:v>EV_TO_EQUITY_CASH_CLASSIFICATION</x:v>
      </x:c>
      <x:c r="C27" s="43" t="str">
        <x:v>sources/operating/H1_HISTORICAL_STATEMENT_MATRIX.csv</x:v>
      </x:c>
      <x:c r="D27" s="43" t="str">
        <x:v>9c07c4fe4c6100a29f975017d5831241003f47bd9eeaf1807493b82d407350c3</x:v>
      </x:c>
      <x:c r="E27" s="43" t="str">
        <x:v>Certified H1 historical matrix</x:v>
      </x:c>
      <x:c r="F27" s="43" t="str">
        <x:v>RMB_MILLION</x:v>
      </x:c>
      <x:c r="G27" s="43" t="n">
        <x:v>341233.208</x:v>
      </x:c>
      <x:c r="H27" s="43" t="str">
        <x:v>PASS</x:v>
      </x:c>
      <x:c r="I27" s="43" t="str">
        <x:v>Operating cash reserve Revenue</x:v>
      </x:c>
      <x:c r="J27" s="43" t="str">
        <x:v>VALUATION</x:v>
      </x:c>
      <x:c r="K27" s="43" t="n">
        <x:v>2021</x:v>
      </x:c>
      <x:c r="L27" s="43" t="str">
        <x:v>PACKAGE_LOCAL_CERTIFIED_SOURCE</x:v>
      </x:c>
      <x:c r="M27" s="43" t="str">
        <x:v>2026-03-31</x:v>
      </x:c>
      <x:c r="N27" s="43" t="str">
        <x:v>Midea Group</x:v>
      </x:c>
      <x:c r="O27" s="43" t="str">
        <x:v>RMB_MILLION</x:v>
      </x:c>
      <x:c r="P27" s="43" t="n">
        <x:v>341233.208</x:v>
      </x:c>
      <x:c r="Q27" s="43" t="str">
        <x:v>R3-SRC-CASH-2021-REVENUE</x:v>
      </x:c>
      <x:c r="R27" s="43" t="str">
        <x:v>PASS</x:v>
      </x:c>
      <x:c r="S27" s="43" t="str">
        <x:v>cash/revenue ratio</x:v>
      </x:c>
      <x:c r="T27" s="43" t="str">
        <x:v>PASS</x:v>
      </x:c>
    </x:row>
    <x:row r="28">
      <x:c r="A28" s="43" t="str">
        <x:v>2026-09-13</x:v>
      </x:c>
      <x:c r="B28" s="43" t="str">
        <x:v>EV_TO_EQUITY_CASH_CLASSIFICATION</x:v>
      </x:c>
      <x:c r="C28" s="43" t="str">
        <x:v>sources/operating/H1_HISTORICAL_STATEMENT_MATRIX.csv</x:v>
      </x:c>
      <x:c r="D28" s="43" t="str">
        <x:v>9c07c4fe4c6100a29f975017d5831241003f47bd9eeaf1807493b82d407350c3</x:v>
      </x:c>
      <x:c r="E28" s="43" t="str">
        <x:v>Certified H1 historical matrix</x:v>
      </x:c>
      <x:c r="F28" s="43" t="str">
        <x:v>RMB_MILLION</x:v>
      </x:c>
      <x:c r="G28" s="43" t="n">
        <x:v>40550.039</x:v>
      </x:c>
      <x:c r="H28" s="43" t="str">
        <x:v>PASS</x:v>
      </x:c>
      <x:c r="I28" s="43" t="str">
        <x:v>Operating cash reserve Cash_Equivalents</x:v>
      </x:c>
      <x:c r="J28" s="43" t="str">
        <x:v>VALUATION</x:v>
      </x:c>
      <x:c r="K28" s="43" t="n">
        <x:v>2021</x:v>
      </x:c>
      <x:c r="L28" s="43" t="str">
        <x:v>PACKAGE_LOCAL_CERTIFIED_SOURCE</x:v>
      </x:c>
      <x:c r="M28" s="43" t="str">
        <x:v>2026-03-31</x:v>
      </x:c>
      <x:c r="N28" s="43" t="str">
        <x:v>Midea Group</x:v>
      </x:c>
      <x:c r="O28" s="43" t="str">
        <x:v>RMB_MILLION</x:v>
      </x:c>
      <x:c r="P28" s="43" t="n">
        <x:v>40550.039</x:v>
      </x:c>
      <x:c r="Q28" s="43" t="str">
        <x:v>R3-SRC-CASH-2021-CASH_EQUIVALENTS</x:v>
      </x:c>
      <x:c r="R28" s="43" t="str">
        <x:v>PASS</x:v>
      </x:c>
      <x:c r="S28" s="43" t="str">
        <x:v>cash/revenue ratio</x:v>
      </x:c>
      <x:c r="T28" s="43" t="str">
        <x:v>PASS</x:v>
      </x:c>
    </x:row>
    <x:row r="29">
      <x:c r="A29" s="43" t="str">
        <x:v>2026-09-13</x:v>
      </x:c>
      <x:c r="B29" s="43" t="str">
        <x:v>EV_TO_EQUITY_CASH_CLASSIFICATION</x:v>
      </x:c>
      <x:c r="C29" s="43" t="str">
        <x:v>sources/operating/H1_HISTORICAL_STATEMENT_MATRIX.csv</x:v>
      </x:c>
      <x:c r="D29" s="43" t="str">
        <x:v>9c07c4fe4c6100a29f975017d5831241003f47bd9eeaf1807493b82d407350c3</x:v>
      </x:c>
      <x:c r="E29" s="43" t="str">
        <x:v>Certified H1 historical matrix</x:v>
      </x:c>
      <x:c r="F29" s="43" t="str">
        <x:v>RMB_MILLION</x:v>
      </x:c>
      <x:c r="G29" s="43" t="n">
        <x:v>343917.531</x:v>
      </x:c>
      <x:c r="H29" s="43" t="str">
        <x:v>PASS</x:v>
      </x:c>
      <x:c r="I29" s="43" t="str">
        <x:v>Operating cash reserve Revenue</x:v>
      </x:c>
      <x:c r="J29" s="43" t="str">
        <x:v>VALUATION</x:v>
      </x:c>
      <x:c r="K29" s="43" t="n">
        <x:v>2022</x:v>
      </x:c>
      <x:c r="L29" s="43" t="str">
        <x:v>PACKAGE_LOCAL_CERTIFIED_SOURCE</x:v>
      </x:c>
      <x:c r="M29" s="43" t="str">
        <x:v>2026-03-31</x:v>
      </x:c>
      <x:c r="N29" s="43" t="str">
        <x:v>Midea Group</x:v>
      </x:c>
      <x:c r="O29" s="43" t="str">
        <x:v>RMB_MILLION</x:v>
      </x:c>
      <x:c r="P29" s="43" t="n">
        <x:v>343917.531</x:v>
      </x:c>
      <x:c r="Q29" s="43" t="str">
        <x:v>R3-SRC-CASH-2022-REVENUE</x:v>
      </x:c>
      <x:c r="R29" s="43" t="str">
        <x:v>PASS</x:v>
      </x:c>
      <x:c r="S29" s="43" t="str">
        <x:v>cash/revenue ratio</x:v>
      </x:c>
      <x:c r="T29" s="43" t="str">
        <x:v>PASS</x:v>
      </x:c>
    </x:row>
    <x:row r="30">
      <x:c r="A30" s="43" t="str">
        <x:v>2026-09-13</x:v>
      </x:c>
      <x:c r="B30" s="43" t="str">
        <x:v>EV_TO_EQUITY_CASH_CLASSIFICATION</x:v>
      </x:c>
      <x:c r="C30" s="43" t="str">
        <x:v>sources/operating/H1_HISTORICAL_STATEMENT_MATRIX.csv</x:v>
      </x:c>
      <x:c r="D30" s="43" t="str">
        <x:v>9c07c4fe4c6100a29f975017d5831241003f47bd9eeaf1807493b82d407350c3</x:v>
      </x:c>
      <x:c r="E30" s="43" t="str">
        <x:v>Certified H1 historical matrix</x:v>
      </x:c>
      <x:c r="F30" s="43" t="str">
        <x:v>RMB_MILLION</x:v>
      </x:c>
      <x:c r="G30" s="43" t="n">
        <x:v>51131.968</x:v>
      </x:c>
      <x:c r="H30" s="43" t="str">
        <x:v>PASS</x:v>
      </x:c>
      <x:c r="I30" s="43" t="str">
        <x:v>Operating cash reserve Cash_Equivalents</x:v>
      </x:c>
      <x:c r="J30" s="43" t="str">
        <x:v>VALUATION</x:v>
      </x:c>
      <x:c r="K30" s="43" t="n">
        <x:v>2022</x:v>
      </x:c>
      <x:c r="L30" s="43" t="str">
        <x:v>PACKAGE_LOCAL_CERTIFIED_SOURCE</x:v>
      </x:c>
      <x:c r="M30" s="43" t="str">
        <x:v>2026-03-31</x:v>
      </x:c>
      <x:c r="N30" s="43" t="str">
        <x:v>Midea Group</x:v>
      </x:c>
      <x:c r="O30" s="43" t="str">
        <x:v>RMB_MILLION</x:v>
      </x:c>
      <x:c r="P30" s="43" t="n">
        <x:v>51131.968</x:v>
      </x:c>
      <x:c r="Q30" s="43" t="str">
        <x:v>R3-SRC-CASH-2022-CASH_EQUIVALENTS</x:v>
      </x:c>
      <x:c r="R30" s="43" t="str">
        <x:v>PASS</x:v>
      </x:c>
      <x:c r="S30" s="43" t="str">
        <x:v>cash/revenue ratio</x:v>
      </x:c>
      <x:c r="T30" s="43" t="str">
        <x:v>PASS</x:v>
      </x:c>
    </x:row>
    <x:row r="31">
      <x:c r="A31" s="43" t="str">
        <x:v>2026-09-13</x:v>
      </x:c>
      <x:c r="B31" s="43" t="str">
        <x:v>EV_TO_EQUITY_CASH_CLASSIFICATION</x:v>
      </x:c>
      <x:c r="C31" s="43" t="str">
        <x:v>sources/operating/H1_HISTORICAL_STATEMENT_MATRIX.csv</x:v>
      </x:c>
      <x:c r="D31" s="43" t="str">
        <x:v>9c07c4fe4c6100a29f975017d5831241003f47bd9eeaf1807493b82d407350c3</x:v>
      </x:c>
      <x:c r="E31" s="43" t="str">
        <x:v>Certified H1 historical matrix</x:v>
      </x:c>
      <x:c r="F31" s="43" t="str">
        <x:v>RMB_MILLION</x:v>
      </x:c>
      <x:c r="G31" s="43" t="n">
        <x:v>372037.28</x:v>
      </x:c>
      <x:c r="H31" s="43" t="str">
        <x:v>PASS</x:v>
      </x:c>
      <x:c r="I31" s="43" t="str">
        <x:v>Operating cash reserve Revenue</x:v>
      </x:c>
      <x:c r="J31" s="43" t="str">
        <x:v>VALUATION</x:v>
      </x:c>
      <x:c r="K31" s="43" t="n">
        <x:v>2023</x:v>
      </x:c>
      <x:c r="L31" s="43" t="str">
        <x:v>PACKAGE_LOCAL_CERTIFIED_SOURCE</x:v>
      </x:c>
      <x:c r="M31" s="43" t="str">
        <x:v>2026-03-31</x:v>
      </x:c>
      <x:c r="N31" s="43" t="str">
        <x:v>Midea Group</x:v>
      </x:c>
      <x:c r="O31" s="43" t="str">
        <x:v>RMB_MILLION</x:v>
      </x:c>
      <x:c r="P31" s="43" t="n">
        <x:v>372037.28</x:v>
      </x:c>
      <x:c r="Q31" s="43" t="str">
        <x:v>R3-SRC-CASH-2023-REVENUE</x:v>
      </x:c>
      <x:c r="R31" s="43" t="str">
        <x:v>PASS</x:v>
      </x:c>
      <x:c r="S31" s="43" t="str">
        <x:v>cash/revenue ratio</x:v>
      </x:c>
      <x:c r="T31" s="43" t="str">
        <x:v>PASS</x:v>
      </x:c>
    </x:row>
    <x:row r="32">
      <x:c r="A32" s="43" t="str">
        <x:v>2026-09-13</x:v>
      </x:c>
      <x:c r="B32" s="43" t="str">
        <x:v>EV_TO_EQUITY_CASH_CLASSIFICATION</x:v>
      </x:c>
      <x:c r="C32" s="43" t="str">
        <x:v>sources/operating/H1_HISTORICAL_STATEMENT_MATRIX.csv</x:v>
      </x:c>
      <x:c r="D32" s="43" t="str">
        <x:v>9c07c4fe4c6100a29f975017d5831241003f47bd9eeaf1807493b82d407350c3</x:v>
      </x:c>
      <x:c r="E32" s="43" t="str">
        <x:v>Certified H1 historical matrix</x:v>
      </x:c>
      <x:c r="F32" s="43" t="str">
        <x:v>RMB_MILLION</x:v>
      </x:c>
      <x:c r="G32" s="43" t="n">
        <x:v>59887.26</x:v>
      </x:c>
      <x:c r="H32" s="43" t="str">
        <x:v>PASS</x:v>
      </x:c>
      <x:c r="I32" s="43" t="str">
        <x:v>Operating cash reserve Cash_Equivalents</x:v>
      </x:c>
      <x:c r="J32" s="43" t="str">
        <x:v>VALUATION</x:v>
      </x:c>
      <x:c r="K32" s="43" t="n">
        <x:v>2023</x:v>
      </x:c>
      <x:c r="L32" s="43" t="str">
        <x:v>PACKAGE_LOCAL_CERTIFIED_SOURCE</x:v>
      </x:c>
      <x:c r="M32" s="43" t="str">
        <x:v>2026-03-31</x:v>
      </x:c>
      <x:c r="N32" s="43" t="str">
        <x:v>Midea Group</x:v>
      </x:c>
      <x:c r="O32" s="43" t="str">
        <x:v>RMB_MILLION</x:v>
      </x:c>
      <x:c r="P32" s="43" t="n">
        <x:v>59887.26</x:v>
      </x:c>
      <x:c r="Q32" s="43" t="str">
        <x:v>R3-SRC-CASH-2023-CASH_EQUIVALENTS</x:v>
      </x:c>
      <x:c r="R32" s="43" t="str">
        <x:v>PASS</x:v>
      </x:c>
      <x:c r="S32" s="43" t="str">
        <x:v>cash/revenue ratio</x:v>
      </x:c>
      <x:c r="T32" s="43" t="str">
        <x:v>PASS</x:v>
      </x:c>
    </x:row>
    <x:row r="33">
      <x:c r="A33" s="43" t="str">
        <x:v>2026-09-13</x:v>
      </x:c>
      <x:c r="B33" s="43" t="str">
        <x:v>EV_TO_EQUITY_CASH_CLASSIFICATION</x:v>
      </x:c>
      <x:c r="C33" s="43" t="str">
        <x:v>sources/operating/H1_HISTORICAL_STATEMENT_MATRIX.csv</x:v>
      </x:c>
      <x:c r="D33" s="43" t="str">
        <x:v>9c07c4fe4c6100a29f975017d5831241003f47bd9eeaf1807493b82d407350c3</x:v>
      </x:c>
      <x:c r="E33" s="43" t="str">
        <x:v>Certified H1 historical matrix</x:v>
      </x:c>
      <x:c r="F33" s="43" t="str">
        <x:v>RMB_MILLION</x:v>
      </x:c>
      <x:c r="G33" s="43" t="n">
        <x:v>407149.6</x:v>
      </x:c>
      <x:c r="H33" s="43" t="str">
        <x:v>PASS</x:v>
      </x:c>
      <x:c r="I33" s="43" t="str">
        <x:v>Operating cash reserve Revenue</x:v>
      </x:c>
      <x:c r="J33" s="43" t="str">
        <x:v>VALUATION</x:v>
      </x:c>
      <x:c r="K33" s="43" t="n">
        <x:v>2024</x:v>
      </x:c>
      <x:c r="L33" s="43" t="str">
        <x:v>PACKAGE_LOCAL_CERTIFIED_SOURCE</x:v>
      </x:c>
      <x:c r="M33" s="43" t="str">
        <x:v>2026-03-31</x:v>
      </x:c>
      <x:c r="N33" s="43" t="str">
        <x:v>Midea Group</x:v>
      </x:c>
      <x:c r="O33" s="43" t="str">
        <x:v>RMB_MILLION</x:v>
      </x:c>
      <x:c r="P33" s="43" t="n">
        <x:v>407149.6</x:v>
      </x:c>
      <x:c r="Q33" s="43" t="str">
        <x:v>R3-SRC-CASH-2024-REVENUE</x:v>
      </x:c>
      <x:c r="R33" s="43" t="str">
        <x:v>PASS</x:v>
      </x:c>
      <x:c r="S33" s="43" t="str">
        <x:v>cash/revenue ratio</x:v>
      </x:c>
      <x:c r="T33" s="43" t="str">
        <x:v>PASS</x:v>
      </x:c>
    </x:row>
    <x:row r="34">
      <x:c r="A34" s="43" t="str">
        <x:v>2026-09-13</x:v>
      </x:c>
      <x:c r="B34" s="43" t="str">
        <x:v>EV_TO_EQUITY_CASH_CLASSIFICATION</x:v>
      </x:c>
      <x:c r="C34" s="43" t="str">
        <x:v>sources/operating/H1_HISTORICAL_STATEMENT_MATRIX.csv</x:v>
      </x:c>
      <x:c r="D34" s="43" t="str">
        <x:v>9c07c4fe4c6100a29f975017d5831241003f47bd9eeaf1807493b82d407350c3</x:v>
      </x:c>
      <x:c r="E34" s="43" t="str">
        <x:v>Certified H1 historical matrix</x:v>
      </x:c>
      <x:c r="F34" s="43" t="str">
        <x:v>RMB_MILLION</x:v>
      </x:c>
      <x:c r="G34" s="43" t="n">
        <x:v>55118.728</x:v>
      </x:c>
      <x:c r="H34" s="43" t="str">
        <x:v>PASS</x:v>
      </x:c>
      <x:c r="I34" s="43" t="str">
        <x:v>Operating cash reserve Cash_Equivalents</x:v>
      </x:c>
      <x:c r="J34" s="43" t="str">
        <x:v>VALUATION</x:v>
      </x:c>
      <x:c r="K34" s="43" t="n">
        <x:v>2024</x:v>
      </x:c>
      <x:c r="L34" s="43" t="str">
        <x:v>PACKAGE_LOCAL_CERTIFIED_SOURCE</x:v>
      </x:c>
      <x:c r="M34" s="43" t="str">
        <x:v>2026-03-31</x:v>
      </x:c>
      <x:c r="N34" s="43" t="str">
        <x:v>Midea Group</x:v>
      </x:c>
      <x:c r="O34" s="43" t="str">
        <x:v>RMB_MILLION</x:v>
      </x:c>
      <x:c r="P34" s="43" t="n">
        <x:v>55118.728</x:v>
      </x:c>
      <x:c r="Q34" s="43" t="str">
        <x:v>R3-SRC-CASH-2024-CASH_EQUIVALENTS</x:v>
      </x:c>
      <x:c r="R34" s="43" t="str">
        <x:v>PASS</x:v>
      </x:c>
      <x:c r="S34" s="43" t="str">
        <x:v>cash/revenue ratio</x:v>
      </x:c>
      <x:c r="T34" s="43" t="str">
        <x:v>PASS</x:v>
      </x:c>
    </x:row>
    <x:row r="35">
      <x:c r="A35" s="43" t="str">
        <x:v>2026-09-13</x:v>
      </x:c>
      <x:c r="B35" s="43" t="str">
        <x:v>EV_TO_EQUITY_CASH_CLASSIFICATION</x:v>
      </x:c>
      <x:c r="C35" s="43" t="str">
        <x:v>sources/operating/H1_HISTORICAL_STATEMENT_MATRIX.csv</x:v>
      </x:c>
      <x:c r="D35" s="43" t="str">
        <x:v>9c07c4fe4c6100a29f975017d5831241003f47bd9eeaf1807493b82d407350c3</x:v>
      </x:c>
      <x:c r="E35" s="43" t="str">
        <x:v>Certified H1 historical matrix</x:v>
      </x:c>
      <x:c r="F35" s="43" t="str">
        <x:v>RMB_MILLION</x:v>
      </x:c>
      <x:c r="G35" s="43" t="n">
        <x:v>456451.731</x:v>
      </x:c>
      <x:c r="H35" s="43" t="str">
        <x:v>PASS</x:v>
      </x:c>
      <x:c r="I35" s="43" t="str">
        <x:v>Operating cash reserve Revenue</x:v>
      </x:c>
      <x:c r="J35" s="43" t="str">
        <x:v>VALUATION</x:v>
      </x:c>
      <x:c r="K35" s="43" t="n">
        <x:v>2025</x:v>
      </x:c>
      <x:c r="L35" s="43" t="str">
        <x:v>PACKAGE_LOCAL_CERTIFIED_SOURCE</x:v>
      </x:c>
      <x:c r="M35" s="43" t="str">
        <x:v>2026-03-31</x:v>
      </x:c>
      <x:c r="N35" s="43" t="str">
        <x:v>Midea Group</x:v>
      </x:c>
      <x:c r="O35" s="43" t="str">
        <x:v>RMB_MILLION</x:v>
      </x:c>
      <x:c r="P35" s="43" t="n">
        <x:v>456451.731</x:v>
      </x:c>
      <x:c r="Q35" s="43" t="str">
        <x:v>R3-SRC-CASH-2025-REVENUE</x:v>
      </x:c>
      <x:c r="R35" s="43" t="str">
        <x:v>PASS</x:v>
      </x:c>
      <x:c r="S35" s="43" t="str">
        <x:v>cash/revenue ratio</x:v>
      </x:c>
      <x:c r="T35" s="43" t="str">
        <x:v>PASS</x:v>
      </x:c>
    </x:row>
    <x:row r="36">
      <x:c r="A36" s="43" t="str">
        <x:v>2026-09-13</x:v>
      </x:c>
      <x:c r="B36" s="43" t="str">
        <x:v>EV_TO_EQUITY_CASH_CLASSIFICATION</x:v>
      </x:c>
      <x:c r="C36" s="43" t="str">
        <x:v>sources/operating/H1_HISTORICAL_STATEMENT_MATRIX.csv</x:v>
      </x:c>
      <x:c r="D36" s="43" t="str">
        <x:v>9c07c4fe4c6100a29f975017d5831241003f47bd9eeaf1807493b82d407350c3</x:v>
      </x:c>
      <x:c r="E36" s="43" t="str">
        <x:v>Certified H1 historical matrix</x:v>
      </x:c>
      <x:c r="F36" s="43" t="str">
        <x:v>RMB_MILLION</x:v>
      </x:c>
      <x:c r="G36" s="43" t="n">
        <x:v>68508.67</x:v>
      </x:c>
      <x:c r="H36" s="43" t="str">
        <x:v>PASS</x:v>
      </x:c>
      <x:c r="I36" s="43" t="str">
        <x:v>Operating cash reserve Cash_Equivalents</x:v>
      </x:c>
      <x:c r="J36" s="43" t="str">
        <x:v>VALUATION</x:v>
      </x:c>
      <x:c r="K36" s="43" t="n">
        <x:v>2025</x:v>
      </x:c>
      <x:c r="L36" s="43" t="str">
        <x:v>PACKAGE_LOCAL_CERTIFIED_SOURCE</x:v>
      </x:c>
      <x:c r="M36" s="43" t="str">
        <x:v>2026-03-31</x:v>
      </x:c>
      <x:c r="N36" s="43" t="str">
        <x:v>Midea Group</x:v>
      </x:c>
      <x:c r="O36" s="43" t="str">
        <x:v>RMB_MILLION</x:v>
      </x:c>
      <x:c r="P36" s="43" t="n">
        <x:v>68508.67</x:v>
      </x:c>
      <x:c r="Q36" s="43" t="str">
        <x:v>R3-SRC-CASH-2025-CASH_EQUIVALENTS</x:v>
      </x:c>
      <x:c r="R36" s="43" t="str">
        <x:v>PASS</x:v>
      </x:c>
      <x:c r="S36" s="43" t="str">
        <x:v>cash/revenue ratio</x:v>
      </x:c>
      <x:c r="T36" s="43" t="str">
        <x:v>PASS</x:v>
      </x:c>
    </x:row>
    <x:row r="37">
      <x:c r="A37" s="43" t="str">
        <x:v>2026-09-13</x:v>
      </x:c>
      <x:c r="B37" s="43" t="str">
        <x:v>H6_PEER_MARKET_DATA</x:v>
      </x:c>
      <x:c r="C37" s="43" t="str">
        <x:v>sources/valuation/GREE_price.json</x:v>
      </x:c>
      <x:c r="D37" s="43" t="str">
        <x:v>870a840db96555c6b8c1dfbd485dcd1d5b37d34a776a28d5b45b1c88e7a091e9</x:v>
      </x:c>
      <x:c r="E37" s="43" t="str">
        <x:v>Pinned peer price payload</x:v>
      </x:c>
      <x:c r="F37" s="43" t="str">
        <x:v>CNY_PER_SHARE</x:v>
      </x:c>
      <x:c r="G37" s="43" t="n">
        <x:v>38.74000168</x:v>
      </x:c>
      <x:c r="H37" s="43" t="str">
        <x:v>PASS</x:v>
      </x:c>
      <x:c r="I37" s="43" t="str">
        <x:v>GREE share price</x:v>
      </x:c>
      <x:c r="J37" s="43" t="str">
        <x:v>VALUATION</x:v>
      </x:c>
      <x:c r="K37" s="43" t="str">
        <x:v>2026-09-11</x:v>
      </x:c>
      <x:c r="L37" s="43" t="str">
        <x:v>https://query1.finance.yahoo.com/v8/finance/chart/000651.SZ</x:v>
      </x:c>
      <x:c r="M37" s="43" t="str">
        <x:v>2026-09-11</x:v>
      </x:c>
      <x:c r="N37" s="43" t="str">
        <x:v>Yahoo Finance chart endpoint</x:v>
      </x:c>
      <x:c r="O37" s="43" t="str">
        <x:v>CNY_PER_SHARE</x:v>
      </x:c>
      <x:c r="P37" s="43" t="n">
        <x:v>38.74000168</x:v>
      </x:c>
      <x:c r="Q37" s="43" t="str">
        <x:v>R3-SRC-GREE-PRICE</x:v>
      </x:c>
      <x:c r="R37" s="43" t="str">
        <x:v>PASS</x:v>
      </x:c>
      <x:c r="S37" s="43" t="str">
        <x:v>none</x:v>
      </x:c>
      <x:c r="T37" s="43" t="str">
        <x:v>PASS</x:v>
      </x:c>
    </x:row>
    <x:row r="38">
      <x:c r="A38" s="43" t="str">
        <x:v>2026-09-13</x:v>
      </x:c>
      <x:c r="B38" s="43" t="str">
        <x:v>H6_PEER_MULTIPLE</x:v>
      </x:c>
      <x:c r="C38" s="43" t="str">
        <x:v>sources/valuation/GREE_fundamentals.json</x:v>
      </x:c>
      <x:c r="D38" s="43" t="str">
        <x:v>1310a25da79804da628b6923deed4891acdc51095b427cac49a95442f4ba5b44</x:v>
      </x:c>
      <x:c r="E38" s="43" t="str">
        <x:v>Pinned peer fundamental payload</x:v>
      </x:c>
      <x:c r="F38" s="43" t="str">
        <x:v>CNY</x:v>
      </x:c>
      <x:c r="G38" s="43" t="n">
        <x:v>5601405741</x:v>
      </x:c>
      <x:c r="H38" s="43" t="str">
        <x:v>PASS</x:v>
      </x:c>
      <x:c r="I38" s="43" t="str">
        <x:v>GREE Shares</x:v>
      </x:c>
      <x:c r="J38" s="43" t="str">
        <x:v>VALUATION</x:v>
      </x:c>
      <x:c r="K38" s="43" t="str">
        <x:v>LATEST_AVAILABLE_TO_2026-06-30</x:v>
      </x:c>
      <x:c r="L38" s="43" t="str">
        <x:v>https://query2.finance.yahoo.com/ws/fundamentals-timeseries/v1/finance/timeseries/000651.SZ</x:v>
      </x:c>
      <x:c r="M38" s="43" t="str">
        <x:v>2026-09-11</x:v>
      </x:c>
      <x:c r="N38" s="43" t="str">
        <x:v>Yahoo Finance fundamentals-timeseries endpoint</x:v>
      </x:c>
      <x:c r="O38" s="43" t="str">
        <x:v>CNY</x:v>
      </x:c>
      <x:c r="P38" s="43" t="n">
        <x:v>5601405741</x:v>
      </x:c>
      <x:c r="Q38" s="43" t="str">
        <x:v>R3-SRC-GREE-SHARES</x:v>
      </x:c>
      <x:c r="R38" s="43" t="str">
        <x:v>PASS</x:v>
      </x:c>
      <x:c r="S38" s="43" t="str">
        <x:v>source-native; same-currency ratio</x:v>
      </x:c>
      <x:c r="T38" s="43" t="str">
        <x:v>PASS</x:v>
      </x:c>
    </x:row>
    <x:row r="39">
      <x:c r="A39" s="43" t="str">
        <x:v>2026-09-13</x:v>
      </x:c>
      <x:c r="B39" s="43" t="str">
        <x:v>H6_PEER_MULTIPLE</x:v>
      </x:c>
      <x:c r="C39" s="43" t="str">
        <x:v>sources/valuation/GREE_fundamentals.json</x:v>
      </x:c>
      <x:c r="D39" s="43" t="str">
        <x:v>1310a25da79804da628b6923deed4891acdc51095b427cac49a95442f4ba5b44</x:v>
      </x:c>
      <x:c r="E39" s="43" t="str">
        <x:v>Pinned peer fundamental payload</x:v>
      </x:c>
      <x:c r="F39" s="43" t="str">
        <x:v>CNY</x:v>
      </x:c>
      <x:c r="G39" s="43" t="n">
        <x:v>83636823292.97</x:v>
      </x:c>
      <x:c r="H39" s="43" t="str">
        <x:v>PASS</x:v>
      </x:c>
      <x:c r="I39" s="43" t="str">
        <x:v>GREE Debt</x:v>
      </x:c>
      <x:c r="J39" s="43" t="str">
        <x:v>VALUATION</x:v>
      </x:c>
      <x:c r="K39" s="43" t="str">
        <x:v>LATEST_AVAILABLE_TO_2026-06-30</x:v>
      </x:c>
      <x:c r="L39" s="43" t="str">
        <x:v>https://query2.finance.yahoo.com/ws/fundamentals-timeseries/v1/finance/timeseries/000651.SZ</x:v>
      </x:c>
      <x:c r="M39" s="43" t="str">
        <x:v>2026-09-11</x:v>
      </x:c>
      <x:c r="N39" s="43" t="str">
        <x:v>Yahoo Finance fundamentals-timeseries endpoint</x:v>
      </x:c>
      <x:c r="O39" s="43" t="str">
        <x:v>CNY</x:v>
      </x:c>
      <x:c r="P39" s="43" t="n">
        <x:v>83636823292.97</x:v>
      </x:c>
      <x:c r="Q39" s="43" t="str">
        <x:v>R3-SRC-GREE-DEBT</x:v>
      </x:c>
      <x:c r="R39" s="43" t="str">
        <x:v>PASS</x:v>
      </x:c>
      <x:c r="S39" s="43" t="str">
        <x:v>source-native; same-currency ratio</x:v>
      </x:c>
      <x:c r="T39" s="43" t="str">
        <x:v>PASS</x:v>
      </x:c>
    </x:row>
    <x:row r="40">
      <x:c r="A40" s="43" t="str">
        <x:v>2026-09-13</x:v>
      </x:c>
      <x:c r="B40" s="43" t="str">
        <x:v>H6_PEER_MULTIPLE</x:v>
      </x:c>
      <x:c r="C40" s="43" t="str">
        <x:v>sources/valuation/GREE_fundamentals.json</x:v>
      </x:c>
      <x:c r="D40" s="43" t="str">
        <x:v>1310a25da79804da628b6923deed4891acdc51095b427cac49a95442f4ba5b44</x:v>
      </x:c>
      <x:c r="E40" s="43" t="str">
        <x:v>Pinned peer fundamental payload</x:v>
      </x:c>
      <x:c r="F40" s="43" t="str">
        <x:v>CNY</x:v>
      </x:c>
      <x:c r="G40" s="43" t="n">
        <x:v>162666835090.81</x:v>
      </x:c>
      <x:c r="H40" s="43" t="str">
        <x:v>PASS</x:v>
      </x:c>
      <x:c r="I40" s="43" t="str">
        <x:v>GREE Cash</x:v>
      </x:c>
      <x:c r="J40" s="43" t="str">
        <x:v>VALUATION</x:v>
      </x:c>
      <x:c r="K40" s="43" t="str">
        <x:v>LATEST_AVAILABLE_TO_2026-06-30</x:v>
      </x:c>
      <x:c r="L40" s="43" t="str">
        <x:v>https://query2.finance.yahoo.com/ws/fundamentals-timeseries/v1/finance/timeseries/000651.SZ</x:v>
      </x:c>
      <x:c r="M40" s="43" t="str">
        <x:v>2026-09-11</x:v>
      </x:c>
      <x:c r="N40" s="43" t="str">
        <x:v>Yahoo Finance fundamentals-timeseries endpoint</x:v>
      </x:c>
      <x:c r="O40" s="43" t="str">
        <x:v>CNY</x:v>
      </x:c>
      <x:c r="P40" s="43" t="n">
        <x:v>162666835090.81</x:v>
      </x:c>
      <x:c r="Q40" s="43" t="str">
        <x:v>R3-SRC-GREE-CASH</x:v>
      </x:c>
      <x:c r="R40" s="43" t="str">
        <x:v>PASS</x:v>
      </x:c>
      <x:c r="S40" s="43" t="str">
        <x:v>source-native; same-currency ratio</x:v>
      </x:c>
      <x:c r="T40" s="43" t="str">
        <x:v>PASS</x:v>
      </x:c>
    </x:row>
    <x:row r="41">
      <x:c r="A41" s="43" t="str">
        <x:v>2026-09-13</x:v>
      </x:c>
      <x:c r="B41" s="43" t="str">
        <x:v>H6_PEER_MULTIPLE</x:v>
      </x:c>
      <x:c r="C41" s="43" t="str">
        <x:v>sources/valuation/GREE_fundamentals.json</x:v>
      </x:c>
      <x:c r="D41" s="43" t="str">
        <x:v>1310a25da79804da628b6923deed4891acdc51095b427cac49a95442f4ba5b44</x:v>
      </x:c>
      <x:c r="E41" s="43" t="str">
        <x:v>Pinned peer fundamental payload</x:v>
      </x:c>
      <x:c r="F41" s="43" t="str">
        <x:v>CNY</x:v>
      </x:c>
      <x:c r="G41" s="43" t="n">
        <x:v>3814487320.4</x:v>
      </x:c>
      <x:c r="H41" s="43" t="str">
        <x:v>PASS</x:v>
      </x:c>
      <x:c r="I41" s="43" t="str">
        <x:v>GREE NCI</x:v>
      </x:c>
      <x:c r="J41" s="43" t="str">
        <x:v>VALUATION</x:v>
      </x:c>
      <x:c r="K41" s="43" t="str">
        <x:v>LATEST_AVAILABLE_TO_2026-06-30</x:v>
      </x:c>
      <x:c r="L41" s="43" t="str">
        <x:v>https://query2.finance.yahoo.com/ws/fundamentals-timeseries/v1/finance/timeseries/000651.SZ</x:v>
      </x:c>
      <x:c r="M41" s="43" t="str">
        <x:v>2026-09-11</x:v>
      </x:c>
      <x:c r="N41" s="43" t="str">
        <x:v>Yahoo Finance fundamentals-timeseries endpoint</x:v>
      </x:c>
      <x:c r="O41" s="43" t="str">
        <x:v>CNY</x:v>
      </x:c>
      <x:c r="P41" s="43" t="n">
        <x:v>3814487320.4</x:v>
      </x:c>
      <x:c r="Q41" s="43" t="str">
        <x:v>R3-SRC-GREE-NCI</x:v>
      </x:c>
      <x:c r="R41" s="43" t="str">
        <x:v>PASS</x:v>
      </x:c>
      <x:c r="S41" s="43" t="str">
        <x:v>source-native; same-currency ratio</x:v>
      </x:c>
      <x:c r="T41" s="43" t="str">
        <x:v>PASS</x:v>
      </x:c>
    </x:row>
    <x:row r="42">
      <x:c r="A42" s="43" t="str">
        <x:v>2026-09-13</x:v>
      </x:c>
      <x:c r="B42" s="43" t="str">
        <x:v>H6_PEER_MULTIPLE</x:v>
      </x:c>
      <x:c r="C42" s="43" t="str">
        <x:v>sources/valuation/GREE_fundamentals.json</x:v>
      </x:c>
      <x:c r="D42" s="43" t="str">
        <x:v>1310a25da79804da628b6923deed4891acdc51095b427cac49a95442f4ba5b44</x:v>
      </x:c>
      <x:c r="E42" s="43" t="str">
        <x:v>Pinned peer fundamental payload</x:v>
      </x:c>
      <x:c r="F42" s="43" t="str">
        <x:v>CNY</x:v>
      </x:c>
      <x:c r="G42" s="43" t="n">
        <x:v>163171733641.44</x:v>
      </x:c>
      <x:c r="H42" s="43" t="str">
        <x:v>PASS</x:v>
      </x:c>
      <x:c r="I42" s="43" t="str">
        <x:v>GREE Revenue</x:v>
      </x:c>
      <x:c r="J42" s="43" t="str">
        <x:v>VALUATION</x:v>
      </x:c>
      <x:c r="K42" s="43" t="str">
        <x:v>LATEST_AVAILABLE_TO_2026-06-30</x:v>
      </x:c>
      <x:c r="L42" s="43" t="str">
        <x:v>https://query2.finance.yahoo.com/ws/fundamentals-timeseries/v1/finance/timeseries/000651.SZ</x:v>
      </x:c>
      <x:c r="M42" s="43" t="str">
        <x:v>2026-09-11</x:v>
      </x:c>
      <x:c r="N42" s="43" t="str">
        <x:v>Yahoo Finance fundamentals-timeseries endpoint</x:v>
      </x:c>
      <x:c r="O42" s="43" t="str">
        <x:v>CNY</x:v>
      </x:c>
      <x:c r="P42" s="43" t="n">
        <x:v>163171733641.44</x:v>
      </x:c>
      <x:c r="Q42" s="43" t="str">
        <x:v>R3-SRC-GREE-REVENUE</x:v>
      </x:c>
      <x:c r="R42" s="43" t="str">
        <x:v>PASS</x:v>
      </x:c>
      <x:c r="S42" s="43" t="str">
        <x:v>source-native; same-currency ratio</x:v>
      </x:c>
      <x:c r="T42" s="43" t="str">
        <x:v>PASS</x:v>
      </x:c>
    </x:row>
    <x:row r="43">
      <x:c r="A43" s="43" t="str">
        <x:v>2026-09-13</x:v>
      </x:c>
      <x:c r="B43" s="43" t="str">
        <x:v>H6_PEER_MULTIPLE</x:v>
      </x:c>
      <x:c r="C43" s="43" t="str">
        <x:v>sources/valuation/GREE_fundamentals.json</x:v>
      </x:c>
      <x:c r="D43" s="43" t="str">
        <x:v>1310a25da79804da628b6923deed4891acdc51095b427cac49a95442f4ba5b44</x:v>
      </x:c>
      <x:c r="E43" s="43" t="str">
        <x:v>Pinned peer fundamental payload</x:v>
      </x:c>
      <x:c r="F43" s="43" t="str">
        <x:v>CNY</x:v>
      </x:c>
      <x:c r="G43" s="43" t="n">
        <x:v>40399969518.38</x:v>
      </x:c>
      <x:c r="H43" s="43" t="str">
        <x:v>PASS</x:v>
      </x:c>
      <x:c r="I43" s="43" t="str">
        <x:v>GREE EBITDA</x:v>
      </x:c>
      <x:c r="J43" s="43" t="str">
        <x:v>VALUATION</x:v>
      </x:c>
      <x:c r="K43" s="43" t="str">
        <x:v>LATEST_AVAILABLE_TO_2026-06-30</x:v>
      </x:c>
      <x:c r="L43" s="43" t="str">
        <x:v>https://query2.finance.yahoo.com/ws/fundamentals-timeseries/v1/finance/timeseries/000651.SZ</x:v>
      </x:c>
      <x:c r="M43" s="43" t="str">
        <x:v>2026-09-11</x:v>
      </x:c>
      <x:c r="N43" s="43" t="str">
        <x:v>Yahoo Finance fundamentals-timeseries endpoint</x:v>
      </x:c>
      <x:c r="O43" s="43" t="str">
        <x:v>CNY</x:v>
      </x:c>
      <x:c r="P43" s="43" t="n">
        <x:v>40399969518.38</x:v>
      </x:c>
      <x:c r="Q43" s="43" t="str">
        <x:v>R3-SRC-GREE-EBITDA</x:v>
      </x:c>
      <x:c r="R43" s="43" t="str">
        <x:v>PASS</x:v>
      </x:c>
      <x:c r="S43" s="43" t="str">
        <x:v>source-native; same-currency ratio</x:v>
      </x:c>
      <x:c r="T43" s="43" t="str">
        <x:v>PASS</x:v>
      </x:c>
    </x:row>
    <x:row r="44">
      <x:c r="A44" s="43" t="str">
        <x:v>2026-09-13</x:v>
      </x:c>
      <x:c r="B44" s="43" t="str">
        <x:v>H6_PEER_MULTIPLE</x:v>
      </x:c>
      <x:c r="C44" s="43" t="str">
        <x:v>sources/valuation/GREE_fundamentals.json</x:v>
      </x:c>
      <x:c r="D44" s="43" t="str">
        <x:v>1310a25da79804da628b6923deed4891acdc51095b427cac49a95442f4ba5b44</x:v>
      </x:c>
      <x:c r="E44" s="43" t="str">
        <x:v>Pinned peer fundamental payload</x:v>
      </x:c>
      <x:c r="F44" s="43" t="str">
        <x:v>CNY</x:v>
      </x:c>
      <x:c r="G44" s="43" t="n">
        <x:v>35614353634.47</x:v>
      </x:c>
      <x:c r="H44" s="43" t="str">
        <x:v>PASS</x:v>
      </x:c>
      <x:c r="I44" s="43" t="str">
        <x:v>GREE EBIT</x:v>
      </x:c>
      <x:c r="J44" s="43" t="str">
        <x:v>VALUATION</x:v>
      </x:c>
      <x:c r="K44" s="43" t="str">
        <x:v>LATEST_AVAILABLE_TO_2026-06-30</x:v>
      </x:c>
      <x:c r="L44" s="43" t="str">
        <x:v>https://query2.finance.yahoo.com/ws/fundamentals-timeseries/v1/finance/timeseries/000651.SZ</x:v>
      </x:c>
      <x:c r="M44" s="43" t="str">
        <x:v>2026-09-11</x:v>
      </x:c>
      <x:c r="N44" s="43" t="str">
        <x:v>Yahoo Finance fundamentals-timeseries endpoint</x:v>
      </x:c>
      <x:c r="O44" s="43" t="str">
        <x:v>CNY</x:v>
      </x:c>
      <x:c r="P44" s="43" t="n">
        <x:v>35614353634.47</x:v>
      </x:c>
      <x:c r="Q44" s="43" t="str">
        <x:v>R3-SRC-GREE-EBIT</x:v>
      </x:c>
      <x:c r="R44" s="43" t="str">
        <x:v>PASS</x:v>
      </x:c>
      <x:c r="S44" s="43" t="str">
        <x:v>source-native; same-currency ratio</x:v>
      </x:c>
      <x:c r="T44" s="43" t="str">
        <x:v>PASS</x:v>
      </x:c>
    </x:row>
    <x:row r="45">
      <x:c r="A45" s="43" t="str">
        <x:v>2026-09-13</x:v>
      </x:c>
      <x:c r="B45" s="43" t="str">
        <x:v>H6_PEER_MULTIPLE</x:v>
      </x:c>
      <x:c r="C45" s="43" t="str">
        <x:v>sources/valuation/GREE_fundamentals.json</x:v>
      </x:c>
      <x:c r="D45" s="43" t="str">
        <x:v>1310a25da79804da628b6923deed4891acdc51095b427cac49a95442f4ba5b44</x:v>
      </x:c>
      <x:c r="E45" s="43" t="str">
        <x:v>Pinned peer fundamental payload</x:v>
      </x:c>
      <x:c r="F45" s="43" t="str">
        <x:v>CNY</x:v>
      </x:c>
      <x:c r="G45" s="43" t="n">
        <x:v>27868287180.39</x:v>
      </x:c>
      <x:c r="H45" s="43" t="str">
        <x:v>PASS</x:v>
      </x:c>
      <x:c r="I45" s="43" t="str">
        <x:v>GREE Earnings</x:v>
      </x:c>
      <x:c r="J45" s="43" t="str">
        <x:v>VALUATION</x:v>
      </x:c>
      <x:c r="K45" s="43" t="str">
        <x:v>LATEST_AVAILABLE_TO_2026-06-30</x:v>
      </x:c>
      <x:c r="L45" s="43" t="str">
        <x:v>https://query2.finance.yahoo.com/ws/fundamentals-timeseries/v1/finance/timeseries/000651.SZ</x:v>
      </x:c>
      <x:c r="M45" s="43" t="str">
        <x:v>2026-09-11</x:v>
      </x:c>
      <x:c r="N45" s="43" t="str">
        <x:v>Yahoo Finance fundamentals-timeseries endpoint</x:v>
      </x:c>
      <x:c r="O45" s="43" t="str">
        <x:v>CNY</x:v>
      </x:c>
      <x:c r="P45" s="43" t="n">
        <x:v>27868287180.39</x:v>
      </x:c>
      <x:c r="Q45" s="43" t="str">
        <x:v>R3-SRC-GREE-EARNINGS</x:v>
      </x:c>
      <x:c r="R45" s="43" t="str">
        <x:v>PASS</x:v>
      </x:c>
      <x:c r="S45" s="43" t="str">
        <x:v>source-native; same-currency ratio</x:v>
      </x:c>
      <x:c r="T45" s="43" t="str">
        <x:v>PASS</x:v>
      </x:c>
    </x:row>
    <x:row r="46">
      <x:c r="A46" s="43" t="str">
        <x:v>2026-09-13</x:v>
      </x:c>
      <x:c r="B46" s="43" t="str">
        <x:v>H6_PEER_MULTIPLE</x:v>
      </x:c>
      <x:c r="C46" s="43" t="str">
        <x:v>sources/valuation/GREE_fundamentals.json</x:v>
      </x:c>
      <x:c r="D46" s="43" t="str">
        <x:v>1310a25da79804da628b6923deed4891acdc51095b427cac49a95442f4ba5b44</x:v>
      </x:c>
      <x:c r="E46" s="43" t="str">
        <x:v>Pinned peer fundamental payload</x:v>
      </x:c>
      <x:c r="F46" s="43" t="str">
        <x:v>CNY</x:v>
      </x:c>
      <x:c r="G46" s="43" t="n">
        <x:v>148508076556.36</x:v>
      </x:c>
      <x:c r="H46" s="43" t="str">
        <x:v>PASS</x:v>
      </x:c>
      <x:c r="I46" s="43" t="str">
        <x:v>GREE Book_Equity</x:v>
      </x:c>
      <x:c r="J46" s="43" t="str">
        <x:v>VALUATION</x:v>
      </x:c>
      <x:c r="K46" s="43" t="str">
        <x:v>LATEST_AVAILABLE_TO_2026-06-30</x:v>
      </x:c>
      <x:c r="L46" s="43" t="str">
        <x:v>https://query2.finance.yahoo.com/ws/fundamentals-timeseries/v1/finance/timeseries/000651.SZ</x:v>
      </x:c>
      <x:c r="M46" s="43" t="str">
        <x:v>2026-09-11</x:v>
      </x:c>
      <x:c r="N46" s="43" t="str">
        <x:v>Yahoo Finance fundamentals-timeseries endpoint</x:v>
      </x:c>
      <x:c r="O46" s="43" t="str">
        <x:v>CNY</x:v>
      </x:c>
      <x:c r="P46" s="43" t="n">
        <x:v>148508076556.36</x:v>
      </x:c>
      <x:c r="Q46" s="43" t="str">
        <x:v>R3-SRC-GREE-BOOK_EQUITY</x:v>
      </x:c>
      <x:c r="R46" s="43" t="str">
        <x:v>PASS</x:v>
      </x:c>
      <x:c r="S46" s="43" t="str">
        <x:v>source-native; same-currency ratio</x:v>
      </x:c>
      <x:c r="T46" s="43" t="str">
        <x:v>PASS</x:v>
      </x:c>
    </x:row>
    <x:row r="47">
      <x:c r="A47" s="43" t="str">
        <x:v>2026-09-13</x:v>
      </x:c>
      <x:c r="B47" s="43" t="str">
        <x:v>H6_PEER_MARKET_DATA</x:v>
      </x:c>
      <x:c r="C47" s="43" t="str">
        <x:v>sources/valuation/HAIER_SMART_HOME_price.json</x:v>
      </x:c>
      <x:c r="D47" s="43" t="str">
        <x:v>6b7c97482a810111227ac02f9fe370f71e2cca90307a06a3857713d5a4df630b</x:v>
      </x:c>
      <x:c r="E47" s="43" t="str">
        <x:v>Pinned peer price payload</x:v>
      </x:c>
      <x:c r="F47" s="43" t="str">
        <x:v>CNY_PER_SHARE</x:v>
      </x:c>
      <x:c r="G47" s="43" t="n">
        <x:v>21.01000023</x:v>
      </x:c>
      <x:c r="H47" s="43" t="str">
        <x:v>PASS</x:v>
      </x:c>
      <x:c r="I47" s="43" t="str">
        <x:v>HAIER_SMART_HOME share price</x:v>
      </x:c>
      <x:c r="J47" s="43" t="str">
        <x:v>VALUATION</x:v>
      </x:c>
      <x:c r="K47" s="43" t="str">
        <x:v>2026-09-11</x:v>
      </x:c>
      <x:c r="L47" s="43" t="str">
        <x:v>https://query1.finance.yahoo.com/v8/finance/chart/600690.SS</x:v>
      </x:c>
      <x:c r="M47" s="43" t="str">
        <x:v>2026-09-11</x:v>
      </x:c>
      <x:c r="N47" s="43" t="str">
        <x:v>Yahoo Finance chart endpoint</x:v>
      </x:c>
      <x:c r="O47" s="43" t="str">
        <x:v>CNY_PER_SHARE</x:v>
      </x:c>
      <x:c r="P47" s="43" t="n">
        <x:v>21.01000023</x:v>
      </x:c>
      <x:c r="Q47" s="43" t="str">
        <x:v>R3-SRC-HAIER_SMART_HOME-PRICE</x:v>
      </x:c>
      <x:c r="R47" s="43" t="str">
        <x:v>PASS</x:v>
      </x:c>
      <x:c r="S47" s="43" t="str">
        <x:v>none</x:v>
      </x:c>
      <x:c r="T47" s="43" t="str">
        <x:v>PASS</x:v>
      </x:c>
    </x:row>
    <x:row r="48">
      <x:c r="A48" s="43" t="str">
        <x:v>2026-09-13</x:v>
      </x:c>
      <x:c r="B48" s="43" t="str">
        <x:v>H6_PEER_MULTIPLE</x:v>
      </x:c>
      <x:c r="C48" s="43" t="str">
        <x:v>sources/valuation/HAIER_SMART_HOME_fundamentals.json</x:v>
      </x:c>
      <x:c r="D48" s="43" t="str">
        <x:v>dc31208e26b001d618566485ae5fcbece167ae663186ef1a925ee1600bbf9353</x:v>
      </x:c>
      <x:c r="E48" s="43" t="str">
        <x:v>Pinned peer fundamental payload</x:v>
      </x:c>
      <x:c r="F48" s="43" t="str">
        <x:v>CNY</x:v>
      </x:c>
      <x:c r="G48" s="43" t="n">
        <x:v>9377629650</x:v>
      </x:c>
      <x:c r="H48" s="43" t="str">
        <x:v>PASS</x:v>
      </x:c>
      <x:c r="I48" s="43" t="str">
        <x:v>HAIER_SMART_HOME Shares</x:v>
      </x:c>
      <x:c r="J48" s="43" t="str">
        <x:v>VALUATION</x:v>
      </x:c>
      <x:c r="K48" s="43" t="str">
        <x:v>LATEST_AVAILABLE_TO_2026-06-30</x:v>
      </x:c>
      <x:c r="L48" s="43" t="str">
        <x:v>https://query2.finance.yahoo.com/ws/fundamentals-timeseries/v1/finance/timeseries/600690.SS</x:v>
      </x:c>
      <x:c r="M48" s="43" t="str">
        <x:v>2026-09-11</x:v>
      </x:c>
      <x:c r="N48" s="43" t="str">
        <x:v>Yahoo Finance fundamentals-timeseries endpoint</x:v>
      </x:c>
      <x:c r="O48" s="43" t="str">
        <x:v>CNY</x:v>
      </x:c>
      <x:c r="P48" s="43" t="n">
        <x:v>9377629650</x:v>
      </x:c>
      <x:c r="Q48" s="43" t="str">
        <x:v>R3-SRC-HAIER_SMART_HOME-SHARES</x:v>
      </x:c>
      <x:c r="R48" s="43" t="str">
        <x:v>PASS</x:v>
      </x:c>
      <x:c r="S48" s="43" t="str">
        <x:v>source-native; same-currency ratio</x:v>
      </x:c>
      <x:c r="T48" s="43" t="str">
        <x:v>PASS</x:v>
      </x:c>
    </x:row>
    <x:row r="49">
      <x:c r="A49" s="43" t="str">
        <x:v>2026-09-13</x:v>
      </x:c>
      <x:c r="B49" s="43" t="str">
        <x:v>H6_PEER_MULTIPLE</x:v>
      </x:c>
      <x:c r="C49" s="43" t="str">
        <x:v>sources/valuation/HAIER_SMART_HOME_fundamentals.json</x:v>
      </x:c>
      <x:c r="D49" s="43" t="str">
        <x:v>dc31208e26b001d618566485ae5fcbece167ae663186ef1a925ee1600bbf9353</x:v>
      </x:c>
      <x:c r="E49" s="43" t="str">
        <x:v>Pinned peer fundamental payload</x:v>
      </x:c>
      <x:c r="F49" s="43" t="str">
        <x:v>CNY</x:v>
      </x:c>
      <x:c r="G49" s="43" t="n">
        <x:v>47048142623.45</x:v>
      </x:c>
      <x:c r="H49" s="43" t="str">
        <x:v>PASS</x:v>
      </x:c>
      <x:c r="I49" s="43" t="str">
        <x:v>HAIER_SMART_HOME Debt</x:v>
      </x:c>
      <x:c r="J49" s="43" t="str">
        <x:v>VALUATION</x:v>
      </x:c>
      <x:c r="K49" s="43" t="str">
        <x:v>LATEST_AVAILABLE_TO_2026-06-30</x:v>
      </x:c>
      <x:c r="L49" s="43" t="str">
        <x:v>https://query2.finance.yahoo.com/ws/fundamentals-timeseries/v1/finance/timeseries/600690.SS</x:v>
      </x:c>
      <x:c r="M49" s="43" t="str">
        <x:v>2026-09-11</x:v>
      </x:c>
      <x:c r="N49" s="43" t="str">
        <x:v>Yahoo Finance fundamentals-timeseries endpoint</x:v>
      </x:c>
      <x:c r="O49" s="43" t="str">
        <x:v>CNY</x:v>
      </x:c>
      <x:c r="P49" s="43" t="n">
        <x:v>47048142623.45</x:v>
      </x:c>
      <x:c r="Q49" s="43" t="str">
        <x:v>R3-SRC-HAIER_SMART_HOME-DEBT</x:v>
      </x:c>
      <x:c r="R49" s="43" t="str">
        <x:v>PASS</x:v>
      </x:c>
      <x:c r="S49" s="43" t="str">
        <x:v>source-native; same-currency ratio</x:v>
      </x:c>
      <x:c r="T49" s="43" t="str">
        <x:v>PASS</x:v>
      </x:c>
    </x:row>
    <x:row r="50">
      <x:c r="A50" s="43" t="str">
        <x:v>2026-09-13</x:v>
      </x:c>
      <x:c r="B50" s="43" t="str">
        <x:v>H6_PEER_MULTIPLE</x:v>
      </x:c>
      <x:c r="C50" s="43" t="str">
        <x:v>sources/valuation/HAIER_SMART_HOME_fundamentals.json</x:v>
      </x:c>
      <x:c r="D50" s="43" t="str">
        <x:v>dc31208e26b001d618566485ae5fcbece167ae663186ef1a925ee1600bbf9353</x:v>
      </x:c>
      <x:c r="E50" s="43" t="str">
        <x:v>Pinned peer fundamental payload</x:v>
      </x:c>
      <x:c r="F50" s="43" t="str">
        <x:v>CNY</x:v>
      </x:c>
      <x:c r="G50" s="43" t="n">
        <x:v>58608784315.82</x:v>
      </x:c>
      <x:c r="H50" s="43" t="str">
        <x:v>PASS</x:v>
      </x:c>
      <x:c r="I50" s="43" t="str">
        <x:v>HAIER_SMART_HOME Cash</x:v>
      </x:c>
      <x:c r="J50" s="43" t="str">
        <x:v>VALUATION</x:v>
      </x:c>
      <x:c r="K50" s="43" t="str">
        <x:v>LATEST_AVAILABLE_TO_2026-06-30</x:v>
      </x:c>
      <x:c r="L50" s="43" t="str">
        <x:v>https://query2.finance.yahoo.com/ws/fundamentals-timeseries/v1/finance/timeseries/600690.SS</x:v>
      </x:c>
      <x:c r="M50" s="43" t="str">
        <x:v>2026-09-11</x:v>
      </x:c>
      <x:c r="N50" s="43" t="str">
        <x:v>Yahoo Finance fundamentals-timeseries endpoint</x:v>
      </x:c>
      <x:c r="O50" s="43" t="str">
        <x:v>CNY</x:v>
      </x:c>
      <x:c r="P50" s="43" t="n">
        <x:v>58608784315.82</x:v>
      </x:c>
      <x:c r="Q50" s="43" t="str">
        <x:v>R3-SRC-HAIER_SMART_HOME-CASH</x:v>
      </x:c>
      <x:c r="R50" s="43" t="str">
        <x:v>PASS</x:v>
      </x:c>
      <x:c r="S50" s="43" t="str">
        <x:v>source-native; same-currency ratio</x:v>
      </x:c>
      <x:c r="T50" s="43" t="str">
        <x:v>PASS</x:v>
      </x:c>
    </x:row>
    <x:row r="51">
      <x:c r="A51" s="43" t="str">
        <x:v>2026-09-13</x:v>
      </x:c>
      <x:c r="B51" s="43" t="str">
        <x:v>H6_PEER_MULTIPLE</x:v>
      </x:c>
      <x:c r="C51" s="43" t="str">
        <x:v>sources/valuation/HAIER_SMART_HOME_fundamentals.json</x:v>
      </x:c>
      <x:c r="D51" s="43" t="str">
        <x:v>dc31208e26b001d618566485ae5fcbece167ae663186ef1a925ee1600bbf9353</x:v>
      </x:c>
      <x:c r="E51" s="43" t="str">
        <x:v>Pinned peer fundamental payload</x:v>
      </x:c>
      <x:c r="F51" s="43" t="str">
        <x:v>CNY</x:v>
      </x:c>
      <x:c r="G51" s="43" t="n">
        <x:v>9697133261.41</x:v>
      </x:c>
      <x:c r="H51" s="43" t="str">
        <x:v>PASS</x:v>
      </x:c>
      <x:c r="I51" s="43" t="str">
        <x:v>HAIER_SMART_HOME NCI</x:v>
      </x:c>
      <x:c r="J51" s="43" t="str">
        <x:v>VALUATION</x:v>
      </x:c>
      <x:c r="K51" s="43" t="str">
        <x:v>LATEST_AVAILABLE_TO_2026-06-30</x:v>
      </x:c>
      <x:c r="L51" s="43" t="str">
        <x:v>https://query2.finance.yahoo.com/ws/fundamentals-timeseries/v1/finance/timeseries/600690.SS</x:v>
      </x:c>
      <x:c r="M51" s="43" t="str">
        <x:v>2026-09-11</x:v>
      </x:c>
      <x:c r="N51" s="43" t="str">
        <x:v>Yahoo Finance fundamentals-timeseries endpoint</x:v>
      </x:c>
      <x:c r="O51" s="43" t="str">
        <x:v>CNY</x:v>
      </x:c>
      <x:c r="P51" s="43" t="n">
        <x:v>9697133261.41</x:v>
      </x:c>
      <x:c r="Q51" s="43" t="str">
        <x:v>R3-SRC-HAIER_SMART_HOME-NCI</x:v>
      </x:c>
      <x:c r="R51" s="43" t="str">
        <x:v>PASS</x:v>
      </x:c>
      <x:c r="S51" s="43" t="str">
        <x:v>source-native; same-currency ratio</x:v>
      </x:c>
      <x:c r="T51" s="43" t="str">
        <x:v>PASS</x:v>
      </x:c>
    </x:row>
    <x:row r="52">
      <x:c r="A52" s="43" t="str">
        <x:v>2026-09-13</x:v>
      </x:c>
      <x:c r="B52" s="43" t="str">
        <x:v>H6_PEER_MULTIPLE</x:v>
      </x:c>
      <x:c r="C52" s="43" t="str">
        <x:v>sources/valuation/HAIER_SMART_HOME_fundamentals.json</x:v>
      </x:c>
      <x:c r="D52" s="43" t="str">
        <x:v>dc31208e26b001d618566485ae5fcbece167ae663186ef1a925ee1600bbf9353</x:v>
      </x:c>
      <x:c r="E52" s="43" t="str">
        <x:v>Pinned peer fundamental payload</x:v>
      </x:c>
      <x:c r="F52" s="43" t="str">
        <x:v>CNY</x:v>
      </x:c>
      <x:c r="G52" s="43" t="n">
        <x:v>297967799707.08</x:v>
      </x:c>
      <x:c r="H52" s="43" t="str">
        <x:v>PASS</x:v>
      </x:c>
      <x:c r="I52" s="43" t="str">
        <x:v>HAIER_SMART_HOME Revenue</x:v>
      </x:c>
      <x:c r="J52" s="43" t="str">
        <x:v>VALUATION</x:v>
      </x:c>
      <x:c r="K52" s="43" t="str">
        <x:v>LATEST_AVAILABLE_TO_2026-06-30</x:v>
      </x:c>
      <x:c r="L52" s="43" t="str">
        <x:v>https://query2.finance.yahoo.com/ws/fundamentals-timeseries/v1/finance/timeseries/600690.SS</x:v>
      </x:c>
      <x:c r="M52" s="43" t="str">
        <x:v>2026-09-11</x:v>
      </x:c>
      <x:c r="N52" s="43" t="str">
        <x:v>Yahoo Finance fundamentals-timeseries endpoint</x:v>
      </x:c>
      <x:c r="O52" s="43" t="str">
        <x:v>CNY</x:v>
      </x:c>
      <x:c r="P52" s="43" t="n">
        <x:v>297967799707.08</x:v>
      </x:c>
      <x:c r="Q52" s="43" t="str">
        <x:v>R3-SRC-HAIER_SMART_HOME-REVENUE</x:v>
      </x:c>
      <x:c r="R52" s="43" t="str">
        <x:v>PASS</x:v>
      </x:c>
      <x:c r="S52" s="43" t="str">
        <x:v>source-native; same-currency ratio</x:v>
      </x:c>
      <x:c r="T52" s="43" t="str">
        <x:v>PASS</x:v>
      </x:c>
    </x:row>
    <x:row r="53">
      <x:c r="A53" s="43" t="str">
        <x:v>2026-09-13</x:v>
      </x:c>
      <x:c r="B53" s="43" t="str">
        <x:v>H6_PEER_MULTIPLE</x:v>
      </x:c>
      <x:c r="C53" s="43" t="str">
        <x:v>sources/valuation/HAIER_SMART_HOME_fundamentals.json</x:v>
      </x:c>
      <x:c r="D53" s="43" t="str">
        <x:v>dc31208e26b001d618566485ae5fcbece167ae663186ef1a925ee1600bbf9353</x:v>
      </x:c>
      <x:c r="E53" s="43" t="str">
        <x:v>Pinned peer fundamental payload</x:v>
      </x:c>
      <x:c r="F53" s="43" t="str">
        <x:v>CNY</x:v>
      </x:c>
      <x:c r="G53" s="43" t="n">
        <x:v>32368000055.78</x:v>
      </x:c>
      <x:c r="H53" s="43" t="str">
        <x:v>PASS</x:v>
      </x:c>
      <x:c r="I53" s="43" t="str">
        <x:v>HAIER_SMART_HOME EBITDA</x:v>
      </x:c>
      <x:c r="J53" s="43" t="str">
        <x:v>VALUATION</x:v>
      </x:c>
      <x:c r="K53" s="43" t="str">
        <x:v>LATEST_AVAILABLE_TO_2026-06-30</x:v>
      </x:c>
      <x:c r="L53" s="43" t="str">
        <x:v>https://query2.finance.yahoo.com/ws/fundamentals-timeseries/v1/finance/timeseries/600690.SS</x:v>
      </x:c>
      <x:c r="M53" s="43" t="str">
        <x:v>2026-09-11</x:v>
      </x:c>
      <x:c r="N53" s="43" t="str">
        <x:v>Yahoo Finance fundamentals-timeseries endpoint</x:v>
      </x:c>
      <x:c r="O53" s="43" t="str">
        <x:v>CNY</x:v>
      </x:c>
      <x:c r="P53" s="43" t="n">
        <x:v>32368000055.78</x:v>
      </x:c>
      <x:c r="Q53" s="43" t="str">
        <x:v>R3-SRC-HAIER_SMART_HOME-EBITDA</x:v>
      </x:c>
      <x:c r="R53" s="43" t="str">
        <x:v>PASS</x:v>
      </x:c>
      <x:c r="S53" s="43" t="str">
        <x:v>source-native; same-currency ratio</x:v>
      </x:c>
      <x:c r="T53" s="43" t="str">
        <x:v>PASS</x:v>
      </x:c>
    </x:row>
    <x:row r="54">
      <x:c r="A54" s="43" t="str">
        <x:v>2026-09-13</x:v>
      </x:c>
      <x:c r="B54" s="43" t="str">
        <x:v>H6_PEER_MULTIPLE</x:v>
      </x:c>
      <x:c r="C54" s="43" t="str">
        <x:v>sources/valuation/HAIER_SMART_HOME_fundamentals.json</x:v>
      </x:c>
      <x:c r="D54" s="43" t="str">
        <x:v>dc31208e26b001d618566485ae5fcbece167ae663186ef1a925ee1600bbf9353</x:v>
      </x:c>
      <x:c r="E54" s="43" t="str">
        <x:v>Pinned peer fundamental payload</x:v>
      </x:c>
      <x:c r="F54" s="43" t="str">
        <x:v>CNY</x:v>
      </x:c>
      <x:c r="G54" s="43" t="n">
        <x:v>23750270639.54</x:v>
      </x:c>
      <x:c r="H54" s="43" t="str">
        <x:v>PASS</x:v>
      </x:c>
      <x:c r="I54" s="43" t="str">
        <x:v>HAIER_SMART_HOME EBIT</x:v>
      </x:c>
      <x:c r="J54" s="43" t="str">
        <x:v>VALUATION</x:v>
      </x:c>
      <x:c r="K54" s="43" t="str">
        <x:v>LATEST_AVAILABLE_TO_2026-06-30</x:v>
      </x:c>
      <x:c r="L54" s="43" t="str">
        <x:v>https://query2.finance.yahoo.com/ws/fundamentals-timeseries/v1/finance/timeseries/600690.SS</x:v>
      </x:c>
      <x:c r="M54" s="43" t="str">
        <x:v>2026-09-11</x:v>
      </x:c>
      <x:c r="N54" s="43" t="str">
        <x:v>Yahoo Finance fundamentals-timeseries endpoint</x:v>
      </x:c>
      <x:c r="O54" s="43" t="str">
        <x:v>CNY</x:v>
      </x:c>
      <x:c r="P54" s="43" t="n">
        <x:v>23750270639.54</x:v>
      </x:c>
      <x:c r="Q54" s="43" t="str">
        <x:v>R3-SRC-HAIER_SMART_HOME-EBIT</x:v>
      </x:c>
      <x:c r="R54" s="43" t="str">
        <x:v>PASS</x:v>
      </x:c>
      <x:c r="S54" s="43" t="str">
        <x:v>source-native; same-currency ratio</x:v>
      </x:c>
      <x:c r="T54" s="43" t="str">
        <x:v>PASS</x:v>
      </x:c>
    </x:row>
    <x:row r="55">
      <x:c r="A55" s="43" t="str">
        <x:v>2026-09-13</x:v>
      </x:c>
      <x:c r="B55" s="43" t="str">
        <x:v>H6_PEER_MULTIPLE</x:v>
      </x:c>
      <x:c r="C55" s="43" t="str">
        <x:v>sources/valuation/HAIER_SMART_HOME_fundamentals.json</x:v>
      </x:c>
      <x:c r="D55" s="43" t="str">
        <x:v>dc31208e26b001d618566485ae5fcbece167ae663186ef1a925ee1600bbf9353</x:v>
      </x:c>
      <x:c r="E55" s="43" t="str">
        <x:v>Pinned peer fundamental payload</x:v>
      </x:c>
      <x:c r="F55" s="43" t="str">
        <x:v>CNY</x:v>
      </x:c>
      <x:c r="G55" s="43" t="n">
        <x:v>17836057348.84</x:v>
      </x:c>
      <x:c r="H55" s="43" t="str">
        <x:v>PASS</x:v>
      </x:c>
      <x:c r="I55" s="43" t="str">
        <x:v>HAIER_SMART_HOME Earnings</x:v>
      </x:c>
      <x:c r="J55" s="43" t="str">
        <x:v>VALUATION</x:v>
      </x:c>
      <x:c r="K55" s="43" t="str">
        <x:v>LATEST_AVAILABLE_TO_2026-06-30</x:v>
      </x:c>
      <x:c r="L55" s="43" t="str">
        <x:v>https://query2.finance.yahoo.com/ws/fundamentals-timeseries/v1/finance/timeseries/600690.SS</x:v>
      </x:c>
      <x:c r="M55" s="43" t="str">
        <x:v>2026-09-11</x:v>
      </x:c>
      <x:c r="N55" s="43" t="str">
        <x:v>Yahoo Finance fundamentals-timeseries endpoint</x:v>
      </x:c>
      <x:c r="O55" s="43" t="str">
        <x:v>CNY</x:v>
      </x:c>
      <x:c r="P55" s="43" t="n">
        <x:v>17836057348.84</x:v>
      </x:c>
      <x:c r="Q55" s="43" t="str">
        <x:v>R3-SRC-HAIER_SMART_HOME-EARNINGS</x:v>
      </x:c>
      <x:c r="R55" s="43" t="str">
        <x:v>PASS</x:v>
      </x:c>
      <x:c r="S55" s="43" t="str">
        <x:v>source-native; same-currency ratio</x:v>
      </x:c>
      <x:c r="T55" s="43" t="str">
        <x:v>PASS</x:v>
      </x:c>
    </x:row>
    <x:row r="56">
      <x:c r="A56" s="43" t="str">
        <x:v>2026-09-13</x:v>
      </x:c>
      <x:c r="B56" s="43" t="str">
        <x:v>H6_PEER_MULTIPLE</x:v>
      </x:c>
      <x:c r="C56" s="43" t="str">
        <x:v>sources/valuation/HAIER_SMART_HOME_fundamentals.json</x:v>
      </x:c>
      <x:c r="D56" s="43" t="str">
        <x:v>dc31208e26b001d618566485ae5fcbece167ae663186ef1a925ee1600bbf9353</x:v>
      </x:c>
      <x:c r="E56" s="43" t="str">
        <x:v>Pinned peer fundamental payload</x:v>
      </x:c>
      <x:c r="F56" s="43" t="str">
        <x:v>CNY</x:v>
      </x:c>
      <x:c r="G56" s="43" t="n">
        <x:v>119678355042.24</x:v>
      </x:c>
      <x:c r="H56" s="43" t="str">
        <x:v>PASS</x:v>
      </x:c>
      <x:c r="I56" s="43" t="str">
        <x:v>HAIER_SMART_HOME Book_Equity</x:v>
      </x:c>
      <x:c r="J56" s="43" t="str">
        <x:v>VALUATION</x:v>
      </x:c>
      <x:c r="K56" s="43" t="str">
        <x:v>LATEST_AVAILABLE_TO_2026-06-30</x:v>
      </x:c>
      <x:c r="L56" s="43" t="str">
        <x:v>https://query2.finance.yahoo.com/ws/fundamentals-timeseries/v1/finance/timeseries/600690.SS</x:v>
      </x:c>
      <x:c r="M56" s="43" t="str">
        <x:v>2026-09-11</x:v>
      </x:c>
      <x:c r="N56" s="43" t="str">
        <x:v>Yahoo Finance fundamentals-timeseries endpoint</x:v>
      </x:c>
      <x:c r="O56" s="43" t="str">
        <x:v>CNY</x:v>
      </x:c>
      <x:c r="P56" s="43" t="n">
        <x:v>119678355042.24</x:v>
      </x:c>
      <x:c r="Q56" s="43" t="str">
        <x:v>R3-SRC-HAIER_SMART_HOME-BOOK_EQUITY</x:v>
      </x:c>
      <x:c r="R56" s="43" t="str">
        <x:v>PASS</x:v>
      </x:c>
      <x:c r="S56" s="43" t="str">
        <x:v>source-native; same-currency ratio</x:v>
      </x:c>
      <x:c r="T56" s="43" t="str">
        <x:v>PASS</x:v>
      </x:c>
    </x:row>
    <x:row r="57">
      <x:c r="A57" s="43" t="str">
        <x:v>2026-09-13</x:v>
      </x:c>
      <x:c r="B57" s="43" t="str">
        <x:v>H6_PEER_MARKET_DATA</x:v>
      </x:c>
      <x:c r="C57" s="43" t="str">
        <x:v>sources/valuation/HISENSE_HOME_APPLIANCES_price.json</x:v>
      </x:c>
      <x:c r="D57" s="43" t="str">
        <x:v>40c999b593dc580705d3c8fe1c688b30d26195c797858b1d971d8dd6ca8b9842</x:v>
      </x:c>
      <x:c r="E57" s="43" t="str">
        <x:v>Pinned peer price payload</x:v>
      </x:c>
      <x:c r="F57" s="43" t="str">
        <x:v>CNY_PER_SHARE</x:v>
      </x:c>
      <x:c r="G57" s="43" t="n">
        <x:v>29.12000084</x:v>
      </x:c>
      <x:c r="H57" s="43" t="str">
        <x:v>PASS</x:v>
      </x:c>
      <x:c r="I57" s="43" t="str">
        <x:v>HISENSE_HOME_APPLIANCES share price</x:v>
      </x:c>
      <x:c r="J57" s="43" t="str">
        <x:v>VALUATION</x:v>
      </x:c>
      <x:c r="K57" s="43" t="str">
        <x:v>2026-09-11</x:v>
      </x:c>
      <x:c r="L57" s="43" t="str">
        <x:v>https://query1.finance.yahoo.com/v8/finance/chart/000921.SZ</x:v>
      </x:c>
      <x:c r="M57" s="43" t="str">
        <x:v>2026-09-11</x:v>
      </x:c>
      <x:c r="N57" s="43" t="str">
        <x:v>Yahoo Finance chart endpoint</x:v>
      </x:c>
      <x:c r="O57" s="43" t="str">
        <x:v>CNY_PER_SHARE</x:v>
      </x:c>
      <x:c r="P57" s="43" t="n">
        <x:v>29.12000084</x:v>
      </x:c>
      <x:c r="Q57" s="43" t="str">
        <x:v>R3-SRC-HISENSE_HOME_APPLIANCES-PRICE</x:v>
      </x:c>
      <x:c r="R57" s="43" t="str">
        <x:v>PASS</x:v>
      </x:c>
      <x:c r="S57" s="43" t="str">
        <x:v>none</x:v>
      </x:c>
      <x:c r="T57" s="43" t="str">
        <x:v>PASS</x:v>
      </x:c>
    </x:row>
    <x:row r="58">
      <x:c r="A58" s="43" t="str">
        <x:v>2026-09-13</x:v>
      </x:c>
      <x:c r="B58" s="43" t="str">
        <x:v>H6_PEER_MULTIPLE</x:v>
      </x:c>
      <x:c r="C58" s="43" t="str">
        <x:v>sources/valuation/HISENSE_HOME_APPLIANCES_fundamentals.json</x:v>
      </x:c>
      <x:c r="D58" s="43" t="str">
        <x:v>5c93d181bbb3c4abedada1acbf2f86642561a278590c6f52f7ad3694b8a10a30</x:v>
      </x:c>
      <x:c r="E58" s="43" t="str">
        <x:v>Pinned peer fundamental payload</x:v>
      </x:c>
      <x:c r="F58" s="43" t="str">
        <x:v>CNY</x:v>
      </x:c>
      <x:c r="G58" s="43" t="n">
        <x:v>1384861171</x:v>
      </x:c>
      <x:c r="H58" s="43" t="str">
        <x:v>PASS</x:v>
      </x:c>
      <x:c r="I58" s="43" t="str">
        <x:v>HISENSE_HOME_APPLIANCES Shares</x:v>
      </x:c>
      <x:c r="J58" s="43" t="str">
        <x:v>VALUATION</x:v>
      </x:c>
      <x:c r="K58" s="43" t="str">
        <x:v>LATEST_AVAILABLE_TO_2026-06-30</x:v>
      </x:c>
      <x:c r="L58" s="43" t="str">
        <x:v>https://query2.finance.yahoo.com/ws/fundamentals-timeseries/v1/finance/timeseries/000921.SZ</x:v>
      </x:c>
      <x:c r="M58" s="43" t="str">
        <x:v>2026-09-11</x:v>
      </x:c>
      <x:c r="N58" s="43" t="str">
        <x:v>Yahoo Finance fundamentals-timeseries endpoint</x:v>
      </x:c>
      <x:c r="O58" s="43" t="str">
        <x:v>CNY</x:v>
      </x:c>
      <x:c r="P58" s="43" t="n">
        <x:v>1384861171</x:v>
      </x:c>
      <x:c r="Q58" s="43" t="str">
        <x:v>R3-SRC-HISENSE_HOME_APPLIANCES-SHARES</x:v>
      </x:c>
      <x:c r="R58" s="43" t="str">
        <x:v>PASS</x:v>
      </x:c>
      <x:c r="S58" s="43" t="str">
        <x:v>source-native; same-currency ratio</x:v>
      </x:c>
      <x:c r="T58" s="43" t="str">
        <x:v>PASS</x:v>
      </x:c>
    </x:row>
    <x:row r="59">
      <x:c r="A59" s="43" t="str">
        <x:v>2026-09-13</x:v>
      </x:c>
      <x:c r="B59" s="43" t="str">
        <x:v>H6_PEER_MULTIPLE</x:v>
      </x:c>
      <x:c r="C59" s="43" t="str">
        <x:v>sources/valuation/HISENSE_HOME_APPLIANCES_fundamentals.json</x:v>
      </x:c>
      <x:c r="D59" s="43" t="str">
        <x:v>5c93d181bbb3c4abedada1acbf2f86642561a278590c6f52f7ad3694b8a10a30</x:v>
      </x:c>
      <x:c r="E59" s="43" t="str">
        <x:v>Pinned peer fundamental payload</x:v>
      </x:c>
      <x:c r="F59" s="43" t="str">
        <x:v>CNY</x:v>
      </x:c>
      <x:c r="G59" s="43" t="n">
        <x:v>4294133164.19</x:v>
      </x:c>
      <x:c r="H59" s="43" t="str">
        <x:v>PASS</x:v>
      </x:c>
      <x:c r="I59" s="43" t="str">
        <x:v>HISENSE_HOME_APPLIANCES Debt</x:v>
      </x:c>
      <x:c r="J59" s="43" t="str">
        <x:v>VALUATION</x:v>
      </x:c>
      <x:c r="K59" s="43" t="str">
        <x:v>LATEST_AVAILABLE_TO_2026-06-30</x:v>
      </x:c>
      <x:c r="L59" s="43" t="str">
        <x:v>https://query2.finance.yahoo.com/ws/fundamentals-timeseries/v1/finance/timeseries/000921.SZ</x:v>
      </x:c>
      <x:c r="M59" s="43" t="str">
        <x:v>2026-09-11</x:v>
      </x:c>
      <x:c r="N59" s="43" t="str">
        <x:v>Yahoo Finance fundamentals-timeseries endpoint</x:v>
      </x:c>
      <x:c r="O59" s="43" t="str">
        <x:v>CNY</x:v>
      </x:c>
      <x:c r="P59" s="43" t="n">
        <x:v>4294133164.19</x:v>
      </x:c>
      <x:c r="Q59" s="43" t="str">
        <x:v>R3-SRC-HISENSE_HOME_APPLIANCES-DEBT</x:v>
      </x:c>
      <x:c r="R59" s="43" t="str">
        <x:v>PASS</x:v>
      </x:c>
      <x:c r="S59" s="43" t="str">
        <x:v>source-native; same-currency ratio</x:v>
      </x:c>
      <x:c r="T59" s="43" t="str">
        <x:v>PASS</x:v>
      </x:c>
    </x:row>
    <x:row r="60">
      <x:c r="A60" s="43" t="str">
        <x:v>2026-09-13</x:v>
      </x:c>
      <x:c r="B60" s="43" t="str">
        <x:v>H6_PEER_MULTIPLE</x:v>
      </x:c>
      <x:c r="C60" s="43" t="str">
        <x:v>sources/valuation/HISENSE_HOME_APPLIANCES_fundamentals.json</x:v>
      </x:c>
      <x:c r="D60" s="43" t="str">
        <x:v>5c93d181bbb3c4abedada1acbf2f86642561a278590c6f52f7ad3694b8a10a30</x:v>
      </x:c>
      <x:c r="E60" s="43" t="str">
        <x:v>Pinned peer fundamental payload</x:v>
      </x:c>
      <x:c r="F60" s="43" t="str">
        <x:v>CNY</x:v>
      </x:c>
      <x:c r="G60" s="43" t="n">
        <x:v>24442339898.84</x:v>
      </x:c>
      <x:c r="H60" s="43" t="str">
        <x:v>PASS</x:v>
      </x:c>
      <x:c r="I60" s="43" t="str">
        <x:v>HISENSE_HOME_APPLIANCES Cash</x:v>
      </x:c>
      <x:c r="J60" s="43" t="str">
        <x:v>VALUATION</x:v>
      </x:c>
      <x:c r="K60" s="43" t="str">
        <x:v>LATEST_AVAILABLE_TO_2026-06-30</x:v>
      </x:c>
      <x:c r="L60" s="43" t="str">
        <x:v>https://query2.finance.yahoo.com/ws/fundamentals-timeseries/v1/finance/timeseries/000921.SZ</x:v>
      </x:c>
      <x:c r="M60" s="43" t="str">
        <x:v>2026-09-11</x:v>
      </x:c>
      <x:c r="N60" s="43" t="str">
        <x:v>Yahoo Finance fundamentals-timeseries endpoint</x:v>
      </x:c>
      <x:c r="O60" s="43" t="str">
        <x:v>CNY</x:v>
      </x:c>
      <x:c r="P60" s="43" t="n">
        <x:v>24442339898.84</x:v>
      </x:c>
      <x:c r="Q60" s="43" t="str">
        <x:v>R3-SRC-HISENSE_HOME_APPLIANCES-CASH</x:v>
      </x:c>
      <x:c r="R60" s="43" t="str">
        <x:v>PASS</x:v>
      </x:c>
      <x:c r="S60" s="43" t="str">
        <x:v>source-native; same-currency ratio</x:v>
      </x:c>
      <x:c r="T60" s="43" t="str">
        <x:v>PASS</x:v>
      </x:c>
    </x:row>
    <x:row r="61">
      <x:c r="A61" s="43" t="str">
        <x:v>2026-09-13</x:v>
      </x:c>
      <x:c r="B61" s="43" t="str">
        <x:v>H6_PEER_MULTIPLE</x:v>
      </x:c>
      <x:c r="C61" s="43" t="str">
        <x:v>sources/valuation/HISENSE_HOME_APPLIANCES_fundamentals.json</x:v>
      </x:c>
      <x:c r="D61" s="43" t="str">
        <x:v>5c93d181bbb3c4abedada1acbf2f86642561a278590c6f52f7ad3694b8a10a30</x:v>
      </x:c>
      <x:c r="E61" s="43" t="str">
        <x:v>Pinned peer fundamental payload</x:v>
      </x:c>
      <x:c r="F61" s="43" t="str">
        <x:v>CNY</x:v>
      </x:c>
      <x:c r="G61" s="43" t="n">
        <x:v>4578031776.85</x:v>
      </x:c>
      <x:c r="H61" s="43" t="str">
        <x:v>PASS</x:v>
      </x:c>
      <x:c r="I61" s="43" t="str">
        <x:v>HISENSE_HOME_APPLIANCES NCI</x:v>
      </x:c>
      <x:c r="J61" s="43" t="str">
        <x:v>VALUATION</x:v>
      </x:c>
      <x:c r="K61" s="43" t="str">
        <x:v>LATEST_AVAILABLE_TO_2026-06-30</x:v>
      </x:c>
      <x:c r="L61" s="43" t="str">
        <x:v>https://query2.finance.yahoo.com/ws/fundamentals-timeseries/v1/finance/timeseries/000921.SZ</x:v>
      </x:c>
      <x:c r="M61" s="43" t="str">
        <x:v>2026-09-11</x:v>
      </x:c>
      <x:c r="N61" s="43" t="str">
        <x:v>Yahoo Finance fundamentals-timeseries endpoint</x:v>
      </x:c>
      <x:c r="O61" s="43" t="str">
        <x:v>CNY</x:v>
      </x:c>
      <x:c r="P61" s="43" t="n">
        <x:v>4578031776.85</x:v>
      </x:c>
      <x:c r="Q61" s="43" t="str">
        <x:v>R3-SRC-HISENSE_HOME_APPLIANCES-NCI</x:v>
      </x:c>
      <x:c r="R61" s="43" t="str">
        <x:v>PASS</x:v>
      </x:c>
      <x:c r="S61" s="43" t="str">
        <x:v>source-native; same-currency ratio</x:v>
      </x:c>
      <x:c r="T61" s="43" t="str">
        <x:v>PASS</x:v>
      </x:c>
    </x:row>
    <x:row r="62">
      <x:c r="A62" s="43" t="str">
        <x:v>2026-09-13</x:v>
      </x:c>
      <x:c r="B62" s="43" t="str">
        <x:v>H6_PEER_MULTIPLE</x:v>
      </x:c>
      <x:c r="C62" s="43" t="str">
        <x:v>sources/valuation/HISENSE_HOME_APPLIANCES_fundamentals.json</x:v>
      </x:c>
      <x:c r="D62" s="43" t="str">
        <x:v>5c93d181bbb3c4abedada1acbf2f86642561a278590c6f52f7ad3694b8a10a30</x:v>
      </x:c>
      <x:c r="E62" s="43" t="str">
        <x:v>Pinned peer fundamental payload</x:v>
      </x:c>
      <x:c r="F62" s="43" t="str">
        <x:v>CNY</x:v>
      </x:c>
      <x:c r="G62" s="43" t="n">
        <x:v>86150173758.04</x:v>
      </x:c>
      <x:c r="H62" s="43" t="str">
        <x:v>PASS</x:v>
      </x:c>
      <x:c r="I62" s="43" t="str">
        <x:v>HISENSE_HOME_APPLIANCES Revenue</x:v>
      </x:c>
      <x:c r="J62" s="43" t="str">
        <x:v>VALUATION</x:v>
      </x:c>
      <x:c r="K62" s="43" t="str">
        <x:v>LATEST_AVAILABLE_TO_2026-06-30</x:v>
      </x:c>
      <x:c r="L62" s="43" t="str">
        <x:v>https://query2.finance.yahoo.com/ws/fundamentals-timeseries/v1/finance/timeseries/000921.SZ</x:v>
      </x:c>
      <x:c r="M62" s="43" t="str">
        <x:v>2026-09-11</x:v>
      </x:c>
      <x:c r="N62" s="43" t="str">
        <x:v>Yahoo Finance fundamentals-timeseries endpoint</x:v>
      </x:c>
      <x:c r="O62" s="43" t="str">
        <x:v>CNY</x:v>
      </x:c>
      <x:c r="P62" s="43" t="n">
        <x:v>86150173758.04</x:v>
      </x:c>
      <x:c r="Q62" s="43" t="str">
        <x:v>R3-SRC-HISENSE_HOME_APPLIANCES-REVENUE</x:v>
      </x:c>
      <x:c r="R62" s="43" t="str">
        <x:v>PASS</x:v>
      </x:c>
      <x:c r="S62" s="43" t="str">
        <x:v>source-native; same-currency ratio</x:v>
      </x:c>
      <x:c r="T62" s="43" t="str">
        <x:v>PASS</x:v>
      </x:c>
    </x:row>
    <x:row r="63">
      <x:c r="A63" s="43" t="str">
        <x:v>2026-09-13</x:v>
      </x:c>
      <x:c r="B63" s="43" t="str">
        <x:v>H6_PEER_MULTIPLE</x:v>
      </x:c>
      <x:c r="C63" s="43" t="str">
        <x:v>sources/valuation/HISENSE_HOME_APPLIANCES_fundamentals.json</x:v>
      </x:c>
      <x:c r="D63" s="43" t="str">
        <x:v>5c93d181bbb3c4abedada1acbf2f86642561a278590c6f52f7ad3694b8a10a30</x:v>
      </x:c>
      <x:c r="E63" s="43" t="str">
        <x:v>Pinned peer fundamental payload</x:v>
      </x:c>
      <x:c r="F63" s="43" t="str">
        <x:v>CNY</x:v>
      </x:c>
      <x:c r="G63" s="43" t="n">
        <x:v>5627692254.7</x:v>
      </x:c>
      <x:c r="H63" s="43" t="str">
        <x:v>PASS</x:v>
      </x:c>
      <x:c r="I63" s="43" t="str">
        <x:v>HISENSE_HOME_APPLIANCES EBITDA</x:v>
      </x:c>
      <x:c r="J63" s="43" t="str">
        <x:v>VALUATION</x:v>
      </x:c>
      <x:c r="K63" s="43" t="str">
        <x:v>LATEST_AVAILABLE_TO_2026-06-30</x:v>
      </x:c>
      <x:c r="L63" s="43" t="str">
        <x:v>https://query2.finance.yahoo.com/ws/fundamentals-timeseries/v1/finance/timeseries/000921.SZ</x:v>
      </x:c>
      <x:c r="M63" s="43" t="str">
        <x:v>2026-09-11</x:v>
      </x:c>
      <x:c r="N63" s="43" t="str">
        <x:v>Yahoo Finance fundamentals-timeseries endpoint</x:v>
      </x:c>
      <x:c r="O63" s="43" t="str">
        <x:v>CNY</x:v>
      </x:c>
      <x:c r="P63" s="43" t="n">
        <x:v>5627692254.7</x:v>
      </x:c>
      <x:c r="Q63" s="43" t="str">
        <x:v>R3-SRC-HISENSE_HOME_APPLIANCES-EBITDA</x:v>
      </x:c>
      <x:c r="R63" s="43" t="str">
        <x:v>PASS</x:v>
      </x:c>
      <x:c r="S63" s="43" t="str">
        <x:v>source-native; same-currency ratio</x:v>
      </x:c>
      <x:c r="T63" s="43" t="str">
        <x:v>PASS</x:v>
      </x:c>
    </x:row>
    <x:row r="64">
      <x:c r="A64" s="43" t="str">
        <x:v>2026-09-13</x:v>
      </x:c>
      <x:c r="B64" s="43" t="str">
        <x:v>H6_PEER_MULTIPLE</x:v>
      </x:c>
      <x:c r="C64" s="43" t="str">
        <x:v>sources/valuation/HISENSE_HOME_APPLIANCES_fundamentals.json</x:v>
      </x:c>
      <x:c r="D64" s="43" t="str">
        <x:v>5c93d181bbb3c4abedada1acbf2f86642561a278590c6f52f7ad3694b8a10a30</x:v>
      </x:c>
      <x:c r="E64" s="43" t="str">
        <x:v>Pinned peer fundamental payload</x:v>
      </x:c>
      <x:c r="F64" s="43" t="str">
        <x:v>CNY</x:v>
      </x:c>
      <x:c r="G64" s="43" t="n">
        <x:v>5627692254.7</x:v>
      </x:c>
      <x:c r="H64" s="43" t="str">
        <x:v>PASS</x:v>
      </x:c>
      <x:c r="I64" s="43" t="str">
        <x:v>HISENSE_HOME_APPLIANCES EBIT</x:v>
      </x:c>
      <x:c r="J64" s="43" t="str">
        <x:v>VALUATION</x:v>
      </x:c>
      <x:c r="K64" s="43" t="str">
        <x:v>LATEST_AVAILABLE_TO_2026-06-30</x:v>
      </x:c>
      <x:c r="L64" s="43" t="str">
        <x:v>https://query2.finance.yahoo.com/ws/fundamentals-timeseries/v1/finance/timeseries/000921.SZ</x:v>
      </x:c>
      <x:c r="M64" s="43" t="str">
        <x:v>2026-09-11</x:v>
      </x:c>
      <x:c r="N64" s="43" t="str">
        <x:v>Yahoo Finance fundamentals-timeseries endpoint</x:v>
      </x:c>
      <x:c r="O64" s="43" t="str">
        <x:v>CNY</x:v>
      </x:c>
      <x:c r="P64" s="43" t="n">
        <x:v>5627692254.7</x:v>
      </x:c>
      <x:c r="Q64" s="43" t="str">
        <x:v>R3-SRC-HISENSE_HOME_APPLIANCES-EBIT</x:v>
      </x:c>
      <x:c r="R64" s="43" t="str">
        <x:v>PASS</x:v>
      </x:c>
      <x:c r="S64" s="43" t="str">
        <x:v>source-native; same-currency ratio</x:v>
      </x:c>
      <x:c r="T64" s="43" t="str">
        <x:v>PASS</x:v>
      </x:c>
    </x:row>
    <x:row r="65">
      <x:c r="A65" s="43" t="str">
        <x:v>2026-09-13</x:v>
      </x:c>
      <x:c r="B65" s="43" t="str">
        <x:v>H6_PEER_MULTIPLE</x:v>
      </x:c>
      <x:c r="C65" s="43" t="str">
        <x:v>sources/valuation/HISENSE_HOME_APPLIANCES_fundamentals.json</x:v>
      </x:c>
      <x:c r="D65" s="43" t="str">
        <x:v>5c93d181bbb3c4abedada1acbf2f86642561a278590c6f52f7ad3694b8a10a30</x:v>
      </x:c>
      <x:c r="E65" s="43" t="str">
        <x:v>Pinned peer fundamental payload</x:v>
      </x:c>
      <x:c r="F65" s="43" t="str">
        <x:v>CNY</x:v>
      </x:c>
      <x:c r="G65" s="43" t="n">
        <x:v>3093875718.23</x:v>
      </x:c>
      <x:c r="H65" s="43" t="str">
        <x:v>PASS</x:v>
      </x:c>
      <x:c r="I65" s="43" t="str">
        <x:v>HISENSE_HOME_APPLIANCES Earnings</x:v>
      </x:c>
      <x:c r="J65" s="43" t="str">
        <x:v>VALUATION</x:v>
      </x:c>
      <x:c r="K65" s="43" t="str">
        <x:v>LATEST_AVAILABLE_TO_2026-06-30</x:v>
      </x:c>
      <x:c r="L65" s="43" t="str">
        <x:v>https://query2.finance.yahoo.com/ws/fundamentals-timeseries/v1/finance/timeseries/000921.SZ</x:v>
      </x:c>
      <x:c r="M65" s="43" t="str">
        <x:v>2026-09-11</x:v>
      </x:c>
      <x:c r="N65" s="43" t="str">
        <x:v>Yahoo Finance fundamentals-timeseries endpoint</x:v>
      </x:c>
      <x:c r="O65" s="43" t="str">
        <x:v>CNY</x:v>
      </x:c>
      <x:c r="P65" s="43" t="n">
        <x:v>3093875718.23</x:v>
      </x:c>
      <x:c r="Q65" s="43" t="str">
        <x:v>R3-SRC-HISENSE_HOME_APPLIANCES-EARNINGS</x:v>
      </x:c>
      <x:c r="R65" s="43" t="str">
        <x:v>PASS</x:v>
      </x:c>
      <x:c r="S65" s="43" t="str">
        <x:v>source-native; same-currency ratio</x:v>
      </x:c>
      <x:c r="T65" s="43" t="str">
        <x:v>PASS</x:v>
      </x:c>
    </x:row>
    <x:row r="66">
      <x:c r="A66" s="43" t="str">
        <x:v>2026-09-13</x:v>
      </x:c>
      <x:c r="B66" s="43" t="str">
        <x:v>H6_PEER_MULTIPLE</x:v>
      </x:c>
      <x:c r="C66" s="43" t="str">
        <x:v>sources/valuation/HISENSE_HOME_APPLIANCES_fundamentals.json</x:v>
      </x:c>
      <x:c r="D66" s="43" t="str">
        <x:v>5c93d181bbb3c4abedada1acbf2f86642561a278590c6f52f7ad3694b8a10a30</x:v>
      </x:c>
      <x:c r="E66" s="43" t="str">
        <x:v>Pinned peer fundamental payload</x:v>
      </x:c>
      <x:c r="F66" s="43" t="str">
        <x:v>CNY</x:v>
      </x:c>
      <x:c r="G66" s="43" t="n">
        <x:v>18499693247.43</x:v>
      </x:c>
      <x:c r="H66" s="43" t="str">
        <x:v>PASS</x:v>
      </x:c>
      <x:c r="I66" s="43" t="str">
        <x:v>HISENSE_HOME_APPLIANCES Book_Equity</x:v>
      </x:c>
      <x:c r="J66" s="43" t="str">
        <x:v>VALUATION</x:v>
      </x:c>
      <x:c r="K66" s="43" t="str">
        <x:v>LATEST_AVAILABLE_TO_2026-06-30</x:v>
      </x:c>
      <x:c r="L66" s="43" t="str">
        <x:v>https://query2.finance.yahoo.com/ws/fundamentals-timeseries/v1/finance/timeseries/000921.SZ</x:v>
      </x:c>
      <x:c r="M66" s="43" t="str">
        <x:v>2026-09-11</x:v>
      </x:c>
      <x:c r="N66" s="43" t="str">
        <x:v>Yahoo Finance fundamentals-timeseries endpoint</x:v>
      </x:c>
      <x:c r="O66" s="43" t="str">
        <x:v>CNY</x:v>
      </x:c>
      <x:c r="P66" s="43" t="n">
        <x:v>18499693247.43</x:v>
      </x:c>
      <x:c r="Q66" s="43" t="str">
        <x:v>R3-SRC-HISENSE_HOME_APPLIANCES-BOOK_EQUITY</x:v>
      </x:c>
      <x:c r="R66" s="43" t="str">
        <x:v>PASS</x:v>
      </x:c>
      <x:c r="S66" s="43" t="str">
        <x:v>source-native; same-currency ratio</x:v>
      </x:c>
      <x:c r="T66" s="43" t="str">
        <x:v>PASS</x:v>
      </x:c>
    </x:row>
    <x:row r="67">
      <x:c r="A67" s="43" t="str">
        <x:v>2026-09-13</x:v>
      </x:c>
      <x:c r="B67" s="43" t="str">
        <x:v>H6_PEER_MARKET_DATA</x:v>
      </x:c>
      <x:c r="C67" s="43" t="str">
        <x:v>sources/valuation/CARRIER_GLOBAL_price.json</x:v>
      </x:c>
      <x:c r="D67" s="43" t="str">
        <x:v>8989febc833e692227e4b5e8e18c5ebf2dc65d5128f86d478d5042b6e7bf29a0</x:v>
      </x:c>
      <x:c r="E67" s="43" t="str">
        <x:v>Pinned peer price payload</x:v>
      </x:c>
      <x:c r="F67" s="43" t="str">
        <x:v>USD_PER_SHARE</x:v>
      </x:c>
      <x:c r="G67" s="43" t="n">
        <x:v>57.45999908</x:v>
      </x:c>
      <x:c r="H67" s="43" t="str">
        <x:v>PASS</x:v>
      </x:c>
      <x:c r="I67" s="43" t="str">
        <x:v>CARRIER_GLOBAL share price</x:v>
      </x:c>
      <x:c r="J67" s="43" t="str">
        <x:v>VALUATION</x:v>
      </x:c>
      <x:c r="K67" s="43" t="str">
        <x:v>2026-09-11</x:v>
      </x:c>
      <x:c r="L67" s="43" t="str">
        <x:v>https://query1.finance.yahoo.com/v8/finance/chart/CARR</x:v>
      </x:c>
      <x:c r="M67" s="43" t="str">
        <x:v>2026-09-11</x:v>
      </x:c>
      <x:c r="N67" s="43" t="str">
        <x:v>Yahoo Finance chart endpoint</x:v>
      </x:c>
      <x:c r="O67" s="43" t="str">
        <x:v>USD_PER_SHARE</x:v>
      </x:c>
      <x:c r="P67" s="43" t="n">
        <x:v>57.45999908</x:v>
      </x:c>
      <x:c r="Q67" s="43" t="str">
        <x:v>R3-SRC-CARRIER_GLOBAL-PRICE</x:v>
      </x:c>
      <x:c r="R67" s="43" t="str">
        <x:v>PASS</x:v>
      </x:c>
      <x:c r="S67" s="43" t="str">
        <x:v>none</x:v>
      </x:c>
      <x:c r="T67" s="43" t="str">
        <x:v>PASS</x:v>
      </x:c>
    </x:row>
    <x:row r="68">
      <x:c r="A68" s="43" t="str">
        <x:v>2026-09-13</x:v>
      </x:c>
      <x:c r="B68" s="43" t="str">
        <x:v>H6_PEER_MULTIPLE</x:v>
      </x:c>
      <x:c r="C68" s="43" t="str">
        <x:v>sources/valuation/CARRIER_GLOBAL_fundamentals.json</x:v>
      </x:c>
      <x:c r="D68" s="43" t="str">
        <x:v>4c23b7454962c7b361268213a5439646e97fb51f9e0837f9cbab103512d0641e</x:v>
      </x:c>
      <x:c r="E68" s="43" t="str">
        <x:v>Pinned peer fundamental payload</x:v>
      </x:c>
      <x:c r="F68" s="43" t="str">
        <x:v>USD</x:v>
      </x:c>
      <x:c r="G68" s="43" t="n">
        <x:v>825026056</x:v>
      </x:c>
      <x:c r="H68" s="43" t="str">
        <x:v>PASS</x:v>
      </x:c>
      <x:c r="I68" s="43" t="str">
        <x:v>CARRIER_GLOBAL Shares</x:v>
      </x:c>
      <x:c r="J68" s="43" t="str">
        <x:v>VALUATION</x:v>
      </x:c>
      <x:c r="K68" s="43" t="str">
        <x:v>LATEST_AVAILABLE_TO_2026-06-30</x:v>
      </x:c>
      <x:c r="L68" s="43" t="str">
        <x:v>https://query2.finance.yahoo.com/ws/fundamentals-timeseries/v1/finance/timeseries/CARR</x:v>
      </x:c>
      <x:c r="M68" s="43" t="str">
        <x:v>2026-09-11</x:v>
      </x:c>
      <x:c r="N68" s="43" t="str">
        <x:v>Yahoo Finance fundamentals-timeseries endpoint</x:v>
      </x:c>
      <x:c r="O68" s="43" t="str">
        <x:v>USD</x:v>
      </x:c>
      <x:c r="P68" s="43" t="n">
        <x:v>825026056</x:v>
      </x:c>
      <x:c r="Q68" s="43" t="str">
        <x:v>R3-SRC-CARRIER_GLOBAL-SHARES</x:v>
      </x:c>
      <x:c r="R68" s="43" t="str">
        <x:v>PASS</x:v>
      </x:c>
      <x:c r="S68" s="43" t="str">
        <x:v>source-native; same-currency ratio</x:v>
      </x:c>
      <x:c r="T68" s="43" t="str">
        <x:v>PASS</x:v>
      </x:c>
    </x:row>
    <x:row r="69">
      <x:c r="A69" s="43" t="str">
        <x:v>2026-09-13</x:v>
      </x:c>
      <x:c r="B69" s="43" t="str">
        <x:v>H6_PEER_MULTIPLE</x:v>
      </x:c>
      <x:c r="C69" s="43" t="str">
        <x:v>sources/valuation/CARRIER_GLOBAL_fundamentals.json</x:v>
      </x:c>
      <x:c r="D69" s="43" t="str">
        <x:v>4c23b7454962c7b361268213a5439646e97fb51f9e0837f9cbab103512d0641e</x:v>
      </x:c>
      <x:c r="E69" s="43" t="str">
        <x:v>Pinned peer fundamental payload</x:v>
      </x:c>
      <x:c r="F69" s="43" t="str">
        <x:v>USD</x:v>
      </x:c>
      <x:c r="G69" s="43" t="n">
        <x:v>12394000000</x:v>
      </x:c>
      <x:c r="H69" s="43" t="str">
        <x:v>PASS</x:v>
      </x:c>
      <x:c r="I69" s="43" t="str">
        <x:v>CARRIER_GLOBAL Debt</x:v>
      </x:c>
      <x:c r="J69" s="43" t="str">
        <x:v>VALUATION</x:v>
      </x:c>
      <x:c r="K69" s="43" t="str">
        <x:v>LATEST_AVAILABLE_TO_2026-06-30</x:v>
      </x:c>
      <x:c r="L69" s="43" t="str">
        <x:v>https://query2.finance.yahoo.com/ws/fundamentals-timeseries/v1/finance/timeseries/CARR</x:v>
      </x:c>
      <x:c r="M69" s="43" t="str">
        <x:v>2026-09-11</x:v>
      </x:c>
      <x:c r="N69" s="43" t="str">
        <x:v>Yahoo Finance fundamentals-timeseries endpoint</x:v>
      </x:c>
      <x:c r="O69" s="43" t="str">
        <x:v>USD</x:v>
      </x:c>
      <x:c r="P69" s="43" t="n">
        <x:v>12394000000</x:v>
      </x:c>
      <x:c r="Q69" s="43" t="str">
        <x:v>R3-SRC-CARRIER_GLOBAL-DEBT</x:v>
      </x:c>
      <x:c r="R69" s="43" t="str">
        <x:v>PASS</x:v>
      </x:c>
      <x:c r="S69" s="43" t="str">
        <x:v>source-native; same-currency ratio</x:v>
      </x:c>
      <x:c r="T69" s="43" t="str">
        <x:v>PASS</x:v>
      </x:c>
    </x:row>
    <x:row r="70">
      <x:c r="A70" s="43" t="str">
        <x:v>2026-09-13</x:v>
      </x:c>
      <x:c r="B70" s="43" t="str">
        <x:v>H6_PEER_MULTIPLE</x:v>
      </x:c>
      <x:c r="C70" s="43" t="str">
        <x:v>sources/valuation/CARRIER_GLOBAL_fundamentals.json</x:v>
      </x:c>
      <x:c r="D70" s="43" t="str">
        <x:v>4c23b7454962c7b361268213a5439646e97fb51f9e0837f9cbab103512d0641e</x:v>
      </x:c>
      <x:c r="E70" s="43" t="str">
        <x:v>Pinned peer fundamental payload</x:v>
      </x:c>
      <x:c r="F70" s="43" t="str">
        <x:v>USD</x:v>
      </x:c>
      <x:c r="G70" s="43" t="n">
        <x:v>1344000000</x:v>
      </x:c>
      <x:c r="H70" s="43" t="str">
        <x:v>PASS</x:v>
      </x:c>
      <x:c r="I70" s="43" t="str">
        <x:v>CARRIER_GLOBAL Cash</x:v>
      </x:c>
      <x:c r="J70" s="43" t="str">
        <x:v>VALUATION</x:v>
      </x:c>
      <x:c r="K70" s="43" t="str">
        <x:v>LATEST_AVAILABLE_TO_2026-06-30</x:v>
      </x:c>
      <x:c r="L70" s="43" t="str">
        <x:v>https://query2.finance.yahoo.com/ws/fundamentals-timeseries/v1/finance/timeseries/CARR</x:v>
      </x:c>
      <x:c r="M70" s="43" t="str">
        <x:v>2026-09-11</x:v>
      </x:c>
      <x:c r="N70" s="43" t="str">
        <x:v>Yahoo Finance fundamentals-timeseries endpoint</x:v>
      </x:c>
      <x:c r="O70" s="43" t="str">
        <x:v>USD</x:v>
      </x:c>
      <x:c r="P70" s="43" t="n">
        <x:v>1344000000</x:v>
      </x:c>
      <x:c r="Q70" s="43" t="str">
        <x:v>R3-SRC-CARRIER_GLOBAL-CASH</x:v>
      </x:c>
      <x:c r="R70" s="43" t="str">
        <x:v>PASS</x:v>
      </x:c>
      <x:c r="S70" s="43" t="str">
        <x:v>source-native; same-currency ratio</x:v>
      </x:c>
      <x:c r="T70" s="43" t="str">
        <x:v>PASS</x:v>
      </x:c>
    </x:row>
    <x:row r="71">
      <x:c r="A71" s="43" t="str">
        <x:v>2026-09-13</x:v>
      </x:c>
      <x:c r="B71" s="43" t="str">
        <x:v>H6_PEER_MULTIPLE</x:v>
      </x:c>
      <x:c r="C71" s="43" t="str">
        <x:v>sources/valuation/CARRIER_GLOBAL_fundamentals.json</x:v>
      </x:c>
      <x:c r="D71" s="43" t="str">
        <x:v>4c23b7454962c7b361268213a5439646e97fb51f9e0837f9cbab103512d0641e</x:v>
      </x:c>
      <x:c r="E71" s="43" t="str">
        <x:v>Pinned peer fundamental payload</x:v>
      </x:c>
      <x:c r="F71" s="43" t="str">
        <x:v>USD</x:v>
      </x:c>
      <x:c r="G71" s="43" t="n">
        <x:v>325000000</x:v>
      </x:c>
      <x:c r="H71" s="43" t="str">
        <x:v>PASS</x:v>
      </x:c>
      <x:c r="I71" s="43" t="str">
        <x:v>CARRIER_GLOBAL NCI</x:v>
      </x:c>
      <x:c r="J71" s="43" t="str">
        <x:v>VALUATION</x:v>
      </x:c>
      <x:c r="K71" s="43" t="str">
        <x:v>LATEST_AVAILABLE_TO_2026-06-30</x:v>
      </x:c>
      <x:c r="L71" s="43" t="str">
        <x:v>https://query2.finance.yahoo.com/ws/fundamentals-timeseries/v1/finance/timeseries/CARR</x:v>
      </x:c>
      <x:c r="M71" s="43" t="str">
        <x:v>2026-09-11</x:v>
      </x:c>
      <x:c r="N71" s="43" t="str">
        <x:v>Yahoo Finance fundamentals-timeseries endpoint</x:v>
      </x:c>
      <x:c r="O71" s="43" t="str">
        <x:v>USD</x:v>
      </x:c>
      <x:c r="P71" s="43" t="n">
        <x:v>325000000</x:v>
      </x:c>
      <x:c r="Q71" s="43" t="str">
        <x:v>R3-SRC-CARRIER_GLOBAL-NCI</x:v>
      </x:c>
      <x:c r="R71" s="43" t="str">
        <x:v>PASS</x:v>
      </x:c>
      <x:c r="S71" s="43" t="str">
        <x:v>source-native; same-currency ratio</x:v>
      </x:c>
      <x:c r="T71" s="43" t="str">
        <x:v>PASS</x:v>
      </x:c>
    </x:row>
    <x:row r="72">
      <x:c r="A72" s="43" t="str">
        <x:v>2026-09-13</x:v>
      </x:c>
      <x:c r="B72" s="43" t="str">
        <x:v>H6_PEER_MULTIPLE</x:v>
      </x:c>
      <x:c r="C72" s="43" t="str">
        <x:v>sources/valuation/CARRIER_GLOBAL_fundamentals.json</x:v>
      </x:c>
      <x:c r="D72" s="43" t="str">
        <x:v>4c23b7454962c7b361268213a5439646e97fb51f9e0837f9cbab103512d0641e</x:v>
      </x:c>
      <x:c r="E72" s="43" t="str">
        <x:v>Pinned peer fundamental payload</x:v>
      </x:c>
      <x:c r="F72" s="43" t="str">
        <x:v>USD</x:v>
      </x:c>
      <x:c r="G72" s="43" t="n">
        <x:v>22108000000</x:v>
      </x:c>
      <x:c r="H72" s="43" t="str">
        <x:v>PASS</x:v>
      </x:c>
      <x:c r="I72" s="43" t="str">
        <x:v>CARRIER_GLOBAL Revenue</x:v>
      </x:c>
      <x:c r="J72" s="43" t="str">
        <x:v>VALUATION</x:v>
      </x:c>
      <x:c r="K72" s="43" t="str">
        <x:v>LATEST_AVAILABLE_TO_2026-06-30</x:v>
      </x:c>
      <x:c r="L72" s="43" t="str">
        <x:v>https://query2.finance.yahoo.com/ws/fundamentals-timeseries/v1/finance/timeseries/CARR</x:v>
      </x:c>
      <x:c r="M72" s="43" t="str">
        <x:v>2026-09-11</x:v>
      </x:c>
      <x:c r="N72" s="43" t="str">
        <x:v>Yahoo Finance fundamentals-timeseries endpoint</x:v>
      </x:c>
      <x:c r="O72" s="43" t="str">
        <x:v>USD</x:v>
      </x:c>
      <x:c r="P72" s="43" t="n">
        <x:v>22108000000</x:v>
      </x:c>
      <x:c r="Q72" s="43" t="str">
        <x:v>R3-SRC-CARRIER_GLOBAL-REVENUE</x:v>
      </x:c>
      <x:c r="R72" s="43" t="str">
        <x:v>PASS</x:v>
      </x:c>
      <x:c r="S72" s="43" t="str">
        <x:v>source-native; same-currency ratio</x:v>
      </x:c>
      <x:c r="T72" s="43" t="str">
        <x:v>PASS</x:v>
      </x:c>
    </x:row>
    <x:row r="73">
      <x:c r="A73" s="43" t="str">
        <x:v>2026-09-13</x:v>
      </x:c>
      <x:c r="B73" s="43" t="str">
        <x:v>H6_PEER_MULTIPLE</x:v>
      </x:c>
      <x:c r="C73" s="43" t="str">
        <x:v>sources/valuation/CARRIER_GLOBAL_fundamentals.json</x:v>
      </x:c>
      <x:c r="D73" s="43" t="str">
        <x:v>4c23b7454962c7b361268213a5439646e97fb51f9e0837f9cbab103512d0641e</x:v>
      </x:c>
      <x:c r="E73" s="43" t="str">
        <x:v>Pinned peer fundamental payload</x:v>
      </x:c>
      <x:c r="F73" s="43" t="str">
        <x:v>USD</x:v>
      </x:c>
      <x:c r="G73" s="43" t="n">
        <x:v>3079000000</x:v>
      </x:c>
      <x:c r="H73" s="43" t="str">
        <x:v>PASS</x:v>
      </x:c>
      <x:c r="I73" s="43" t="str">
        <x:v>CARRIER_GLOBAL EBITDA</x:v>
      </x:c>
      <x:c r="J73" s="43" t="str">
        <x:v>VALUATION</x:v>
      </x:c>
      <x:c r="K73" s="43" t="str">
        <x:v>LATEST_AVAILABLE_TO_2026-06-30</x:v>
      </x:c>
      <x:c r="L73" s="43" t="str">
        <x:v>https://query2.finance.yahoo.com/ws/fundamentals-timeseries/v1/finance/timeseries/CARR</x:v>
      </x:c>
      <x:c r="M73" s="43" t="str">
        <x:v>2026-09-11</x:v>
      </x:c>
      <x:c r="N73" s="43" t="str">
        <x:v>Yahoo Finance fundamentals-timeseries endpoint</x:v>
      </x:c>
      <x:c r="O73" s="43" t="str">
        <x:v>USD</x:v>
      </x:c>
      <x:c r="P73" s="43" t="n">
        <x:v>3079000000</x:v>
      </x:c>
      <x:c r="Q73" s="43" t="str">
        <x:v>R3-SRC-CARRIER_GLOBAL-EBITDA</x:v>
      </x:c>
      <x:c r="R73" s="43" t="str">
        <x:v>PASS</x:v>
      </x:c>
      <x:c r="S73" s="43" t="str">
        <x:v>source-native; same-currency ratio</x:v>
      </x:c>
      <x:c r="T73" s="43" t="str">
        <x:v>PASS</x:v>
      </x:c>
    </x:row>
    <x:row r="74">
      <x:c r="A74" s="43" t="str">
        <x:v>2026-09-13</x:v>
      </x:c>
      <x:c r="B74" s="43" t="str">
        <x:v>H6_PEER_MULTIPLE</x:v>
      </x:c>
      <x:c r="C74" s="43" t="str">
        <x:v>sources/valuation/CARRIER_GLOBAL_fundamentals.json</x:v>
      </x:c>
      <x:c r="D74" s="43" t="str">
        <x:v>4c23b7454962c7b361268213a5439646e97fb51f9e0837f9cbab103512d0641e</x:v>
      </x:c>
      <x:c r="E74" s="43" t="str">
        <x:v>Pinned peer fundamental payload</x:v>
      </x:c>
      <x:c r="F74" s="43" t="str">
        <x:v>USD</x:v>
      </x:c>
      <x:c r="G74" s="43" t="n">
        <x:v>1796000000</x:v>
      </x:c>
      <x:c r="H74" s="43" t="str">
        <x:v>PASS</x:v>
      </x:c>
      <x:c r="I74" s="43" t="str">
        <x:v>CARRIER_GLOBAL EBIT</x:v>
      </x:c>
      <x:c r="J74" s="43" t="str">
        <x:v>VALUATION</x:v>
      </x:c>
      <x:c r="K74" s="43" t="str">
        <x:v>LATEST_AVAILABLE_TO_2026-06-30</x:v>
      </x:c>
      <x:c r="L74" s="43" t="str">
        <x:v>https://query2.finance.yahoo.com/ws/fundamentals-timeseries/v1/finance/timeseries/CARR</x:v>
      </x:c>
      <x:c r="M74" s="43" t="str">
        <x:v>2026-09-11</x:v>
      </x:c>
      <x:c r="N74" s="43" t="str">
        <x:v>Yahoo Finance fundamentals-timeseries endpoint</x:v>
      </x:c>
      <x:c r="O74" s="43" t="str">
        <x:v>USD</x:v>
      </x:c>
      <x:c r="P74" s="43" t="n">
        <x:v>1796000000</x:v>
      </x:c>
      <x:c r="Q74" s="43" t="str">
        <x:v>R3-SRC-CARRIER_GLOBAL-EBIT</x:v>
      </x:c>
      <x:c r="R74" s="43" t="str">
        <x:v>PASS</x:v>
      </x:c>
      <x:c r="S74" s="43" t="str">
        <x:v>source-native; same-currency ratio</x:v>
      </x:c>
      <x:c r="T74" s="43" t="str">
        <x:v>PASS</x:v>
      </x:c>
    </x:row>
    <x:row r="75">
      <x:c r="A75" s="43" t="str">
        <x:v>2026-09-13</x:v>
      </x:c>
      <x:c r="B75" s="43" t="str">
        <x:v>H6_PEER_MULTIPLE</x:v>
      </x:c>
      <x:c r="C75" s="43" t="str">
        <x:v>sources/valuation/CARRIER_GLOBAL_fundamentals.json</x:v>
      </x:c>
      <x:c r="D75" s="43" t="str">
        <x:v>4c23b7454962c7b361268213a5439646e97fb51f9e0837f9cbab103512d0641e</x:v>
      </x:c>
      <x:c r="E75" s="43" t="str">
        <x:v>Pinned peer fundamental payload</x:v>
      </x:c>
      <x:c r="F75" s="43" t="str">
        <x:v>USD</x:v>
      </x:c>
      <x:c r="G75" s="43" t="n">
        <x:v>1220000000</x:v>
      </x:c>
      <x:c r="H75" s="43" t="str">
        <x:v>PASS</x:v>
      </x:c>
      <x:c r="I75" s="43" t="str">
        <x:v>CARRIER_GLOBAL Earnings</x:v>
      </x:c>
      <x:c r="J75" s="43" t="str">
        <x:v>VALUATION</x:v>
      </x:c>
      <x:c r="K75" s="43" t="str">
        <x:v>LATEST_AVAILABLE_TO_2026-06-30</x:v>
      </x:c>
      <x:c r="L75" s="43" t="str">
        <x:v>https://query2.finance.yahoo.com/ws/fundamentals-timeseries/v1/finance/timeseries/CARR</x:v>
      </x:c>
      <x:c r="M75" s="43" t="str">
        <x:v>2026-09-11</x:v>
      </x:c>
      <x:c r="N75" s="43" t="str">
        <x:v>Yahoo Finance fundamentals-timeseries endpoint</x:v>
      </x:c>
      <x:c r="O75" s="43" t="str">
        <x:v>USD</x:v>
      </x:c>
      <x:c r="P75" s="43" t="n">
        <x:v>1220000000</x:v>
      </x:c>
      <x:c r="Q75" s="43" t="str">
        <x:v>R3-SRC-CARRIER_GLOBAL-EARNINGS</x:v>
      </x:c>
      <x:c r="R75" s="43" t="str">
        <x:v>PASS</x:v>
      </x:c>
      <x:c r="S75" s="43" t="str">
        <x:v>source-native; same-currency ratio</x:v>
      </x:c>
      <x:c r="T75" s="43" t="str">
        <x:v>PASS</x:v>
      </x:c>
    </x:row>
    <x:row r="76">
      <x:c r="A76" s="43" t="str">
        <x:v>2026-09-13</x:v>
      </x:c>
      <x:c r="B76" s="43" t="str">
        <x:v>H6_PEER_MULTIPLE</x:v>
      </x:c>
      <x:c r="C76" s="43" t="str">
        <x:v>sources/valuation/CARRIER_GLOBAL_fundamentals.json</x:v>
      </x:c>
      <x:c r="D76" s="43" t="str">
        <x:v>4c23b7454962c7b361268213a5439646e97fb51f9e0837f9cbab103512d0641e</x:v>
      </x:c>
      <x:c r="E76" s="43" t="str">
        <x:v>Pinned peer fundamental payload</x:v>
      </x:c>
      <x:c r="F76" s="43" t="str">
        <x:v>USD</x:v>
      </x:c>
      <x:c r="G76" s="43" t="n">
        <x:v>13147000000</x:v>
      </x:c>
      <x:c r="H76" s="43" t="str">
        <x:v>PASS</x:v>
      </x:c>
      <x:c r="I76" s="43" t="str">
        <x:v>CARRIER_GLOBAL Book_Equity</x:v>
      </x:c>
      <x:c r="J76" s="43" t="str">
        <x:v>VALUATION</x:v>
      </x:c>
      <x:c r="K76" s="43" t="str">
        <x:v>LATEST_AVAILABLE_TO_2026-06-30</x:v>
      </x:c>
      <x:c r="L76" s="43" t="str">
        <x:v>https://query2.finance.yahoo.com/ws/fundamentals-timeseries/v1/finance/timeseries/CARR</x:v>
      </x:c>
      <x:c r="M76" s="43" t="str">
        <x:v>2026-09-11</x:v>
      </x:c>
      <x:c r="N76" s="43" t="str">
        <x:v>Yahoo Finance fundamentals-timeseries endpoint</x:v>
      </x:c>
      <x:c r="O76" s="43" t="str">
        <x:v>USD</x:v>
      </x:c>
      <x:c r="P76" s="43" t="n">
        <x:v>13147000000</x:v>
      </x:c>
      <x:c r="Q76" s="43" t="str">
        <x:v>R3-SRC-CARRIER_GLOBAL-BOOK_EQUITY</x:v>
      </x:c>
      <x:c r="R76" s="43" t="str">
        <x:v>PASS</x:v>
      </x:c>
      <x:c r="S76" s="43" t="str">
        <x:v>source-native; same-currency ratio</x:v>
      </x:c>
      <x:c r="T76" s="43" t="str">
        <x:v>PASS</x:v>
      </x:c>
    </x:row>
    <x:row r="77">
      <x:c r="A77" s="43" t="str">
        <x:v>2026-09-13</x:v>
      </x:c>
      <x:c r="B77" s="43" t="str">
        <x:v>H6_PEER_MARKET_DATA</x:v>
      </x:c>
      <x:c r="C77" s="43" t="str">
        <x:v>sources/valuation/DAIKIN_INDUSTRIES_price.json</x:v>
      </x:c>
      <x:c r="D77" s="43" t="str">
        <x:v>ca0aec159fb0ffcb4248491287285f7bfada8b8aa5c14ab466bf679954a1d2fb</x:v>
      </x:c>
      <x:c r="E77" s="43" t="str">
        <x:v>Pinned peer price payload</x:v>
      </x:c>
      <x:c r="F77" s="43" t="str">
        <x:v>JPY_PER_SHARE</x:v>
      </x:c>
      <x:c r="G77" s="43" t="n">
        <x:v>20780</x:v>
      </x:c>
      <x:c r="H77" s="43" t="str">
        <x:v>PASS</x:v>
      </x:c>
      <x:c r="I77" s="43" t="str">
        <x:v>DAIKIN_INDUSTRIES share price</x:v>
      </x:c>
      <x:c r="J77" s="43" t="str">
        <x:v>VALUATION</x:v>
      </x:c>
      <x:c r="K77" s="43" t="str">
        <x:v>2026-09-11</x:v>
      </x:c>
      <x:c r="L77" s="43" t="str">
        <x:v>https://query1.finance.yahoo.com/v8/finance/chart/6367.T</x:v>
      </x:c>
      <x:c r="M77" s="43" t="str">
        <x:v>2026-09-11</x:v>
      </x:c>
      <x:c r="N77" s="43" t="str">
        <x:v>Yahoo Finance chart endpoint</x:v>
      </x:c>
      <x:c r="O77" s="43" t="str">
        <x:v>JPY_PER_SHARE</x:v>
      </x:c>
      <x:c r="P77" s="43" t="n">
        <x:v>20780</x:v>
      </x:c>
      <x:c r="Q77" s="43" t="str">
        <x:v>R3-SRC-DAIKIN_INDUSTRIES-PRICE</x:v>
      </x:c>
      <x:c r="R77" s="43" t="str">
        <x:v>PASS</x:v>
      </x:c>
      <x:c r="S77" s="43" t="str">
        <x:v>none</x:v>
      </x:c>
      <x:c r="T77" s="43" t="str">
        <x:v>PASS</x:v>
      </x:c>
    </x:row>
    <x:row r="78">
      <x:c r="A78" s="43" t="str">
        <x:v>2026-09-13</x:v>
      </x:c>
      <x:c r="B78" s="43" t="str">
        <x:v>H6_PEER_MULTIPLE</x:v>
      </x:c>
      <x:c r="C78" s="43" t="str">
        <x:v>sources/valuation/DAIKIN_INDUSTRIES_fundamentals.json</x:v>
      </x:c>
      <x:c r="D78" s="43" t="str">
        <x:v>04355743ef4d3d196f023d2ad6d635bc718d9ec93210055241363cef83e8a6ab</x:v>
      </x:c>
      <x:c r="E78" s="43" t="str">
        <x:v>Pinned peer fundamental payload</x:v>
      </x:c>
      <x:c r="F78" s="43" t="str">
        <x:v>JPY</x:v>
      </x:c>
      <x:c r="G78" s="43" t="n">
        <x:v>292841612</x:v>
      </x:c>
      <x:c r="H78" s="43" t="str">
        <x:v>PASS</x:v>
      </x:c>
      <x:c r="I78" s="43" t="str">
        <x:v>DAIKIN_INDUSTRIES Shares</x:v>
      </x:c>
      <x:c r="J78" s="43" t="str">
        <x:v>VALUATION</x:v>
      </x:c>
      <x:c r="K78" s="43" t="str">
        <x:v>LATEST_AVAILABLE_TO_2026-06-30</x:v>
      </x:c>
      <x:c r="L78" s="43" t="str">
        <x:v>https://query2.finance.yahoo.com/ws/fundamentals-timeseries/v1/finance/timeseries/6367.T</x:v>
      </x:c>
      <x:c r="M78" s="43" t="str">
        <x:v>2026-09-11</x:v>
      </x:c>
      <x:c r="N78" s="43" t="str">
        <x:v>Yahoo Finance fundamentals-timeseries endpoint</x:v>
      </x:c>
      <x:c r="O78" s="43" t="str">
        <x:v>JPY</x:v>
      </x:c>
      <x:c r="P78" s="43" t="n">
        <x:v>292841612</x:v>
      </x:c>
      <x:c r="Q78" s="43" t="str">
        <x:v>R3-SRC-DAIKIN_INDUSTRIES-SHARES</x:v>
      </x:c>
      <x:c r="R78" s="43" t="str">
        <x:v>PASS</x:v>
      </x:c>
      <x:c r="S78" s="43" t="str">
        <x:v>source-native; same-currency ratio</x:v>
      </x:c>
      <x:c r="T78" s="43" t="str">
        <x:v>PASS</x:v>
      </x:c>
    </x:row>
    <x:row r="79">
      <x:c r="A79" s="43" t="str">
        <x:v>2026-09-13</x:v>
      </x:c>
      <x:c r="B79" s="43" t="str">
        <x:v>H6_PEER_MULTIPLE</x:v>
      </x:c>
      <x:c r="C79" s="43" t="str">
        <x:v>sources/valuation/DAIKIN_INDUSTRIES_fundamentals.json</x:v>
      </x:c>
      <x:c r="D79" s="43" t="str">
        <x:v>04355743ef4d3d196f023d2ad6d635bc718d9ec93210055241363cef83e8a6ab</x:v>
      </x:c>
      <x:c r="E79" s="43" t="str">
        <x:v>Pinned peer fundamental payload</x:v>
      </x:c>
      <x:c r="F79" s="43" t="str">
        <x:v>JPY</x:v>
      </x:c>
      <x:c r="G79" s="43" t="n">
        <x:v>1094585000000</x:v>
      </x:c>
      <x:c r="H79" s="43" t="str">
        <x:v>PASS</x:v>
      </x:c>
      <x:c r="I79" s="43" t="str">
        <x:v>DAIKIN_INDUSTRIES Debt</x:v>
      </x:c>
      <x:c r="J79" s="43" t="str">
        <x:v>VALUATION</x:v>
      </x:c>
      <x:c r="K79" s="43" t="str">
        <x:v>LATEST_AVAILABLE_TO_2026-06-30</x:v>
      </x:c>
      <x:c r="L79" s="43" t="str">
        <x:v>https://query2.finance.yahoo.com/ws/fundamentals-timeseries/v1/finance/timeseries/6367.T</x:v>
      </x:c>
      <x:c r="M79" s="43" t="str">
        <x:v>2026-09-11</x:v>
      </x:c>
      <x:c r="N79" s="43" t="str">
        <x:v>Yahoo Finance fundamentals-timeseries endpoint</x:v>
      </x:c>
      <x:c r="O79" s="43" t="str">
        <x:v>JPY</x:v>
      </x:c>
      <x:c r="P79" s="43" t="n">
        <x:v>1094585000000</x:v>
      </x:c>
      <x:c r="Q79" s="43" t="str">
        <x:v>R3-SRC-DAIKIN_INDUSTRIES-DEBT</x:v>
      </x:c>
      <x:c r="R79" s="43" t="str">
        <x:v>PASS</x:v>
      </x:c>
      <x:c r="S79" s="43" t="str">
        <x:v>source-native; same-currency ratio</x:v>
      </x:c>
      <x:c r="T79" s="43" t="str">
        <x:v>PASS</x:v>
      </x:c>
    </x:row>
    <x:row r="80">
      <x:c r="A80" s="43" t="str">
        <x:v>2026-09-13</x:v>
      </x:c>
      <x:c r="B80" s="43" t="str">
        <x:v>H6_PEER_MULTIPLE</x:v>
      </x:c>
      <x:c r="C80" s="43" t="str">
        <x:v>sources/valuation/DAIKIN_INDUSTRIES_fundamentals.json</x:v>
      </x:c>
      <x:c r="D80" s="43" t="str">
        <x:v>04355743ef4d3d196f023d2ad6d635bc718d9ec93210055241363cef83e8a6ab</x:v>
      </x:c>
      <x:c r="E80" s="43" t="str">
        <x:v>Pinned peer fundamental payload</x:v>
      </x:c>
      <x:c r="F80" s="43" t="str">
        <x:v>JPY</x:v>
      </x:c>
      <x:c r="G80" s="43" t="n">
        <x:v>933484000000</x:v>
      </x:c>
      <x:c r="H80" s="43" t="str">
        <x:v>PASS</x:v>
      </x:c>
      <x:c r="I80" s="43" t="str">
        <x:v>DAIKIN_INDUSTRIES Cash</x:v>
      </x:c>
      <x:c r="J80" s="43" t="str">
        <x:v>VALUATION</x:v>
      </x:c>
      <x:c r="K80" s="43" t="str">
        <x:v>LATEST_AVAILABLE_TO_2026-06-30</x:v>
      </x:c>
      <x:c r="L80" s="43" t="str">
        <x:v>https://query2.finance.yahoo.com/ws/fundamentals-timeseries/v1/finance/timeseries/6367.T</x:v>
      </x:c>
      <x:c r="M80" s="43" t="str">
        <x:v>2026-09-11</x:v>
      </x:c>
      <x:c r="N80" s="43" t="str">
        <x:v>Yahoo Finance fundamentals-timeseries endpoint</x:v>
      </x:c>
      <x:c r="O80" s="43" t="str">
        <x:v>JPY</x:v>
      </x:c>
      <x:c r="P80" s="43" t="n">
        <x:v>933484000000</x:v>
      </x:c>
      <x:c r="Q80" s="43" t="str">
        <x:v>R3-SRC-DAIKIN_INDUSTRIES-CASH</x:v>
      </x:c>
      <x:c r="R80" s="43" t="str">
        <x:v>PASS</x:v>
      </x:c>
      <x:c r="S80" s="43" t="str">
        <x:v>source-native; same-currency ratio</x:v>
      </x:c>
      <x:c r="T80" s="43" t="str">
        <x:v>PASS</x:v>
      </x:c>
    </x:row>
    <x:row r="81">
      <x:c r="A81" s="43" t="str">
        <x:v>2026-09-13</x:v>
      </x:c>
      <x:c r="B81" s="43" t="str">
        <x:v>H6_PEER_MULTIPLE</x:v>
      </x:c>
      <x:c r="C81" s="43" t="str">
        <x:v>sources/valuation/DAIKIN_INDUSTRIES_fundamentals.json</x:v>
      </x:c>
      <x:c r="D81" s="43" t="str">
        <x:v>04355743ef4d3d196f023d2ad6d635bc718d9ec93210055241363cef83e8a6ab</x:v>
      </x:c>
      <x:c r="E81" s="43" t="str">
        <x:v>Pinned peer fundamental payload</x:v>
      </x:c>
      <x:c r="F81" s="43" t="str">
        <x:v>JPY</x:v>
      </x:c>
      <x:c r="G81" s="43" t="n">
        <x:v>61884000000</x:v>
      </x:c>
      <x:c r="H81" s="43" t="str">
        <x:v>PASS</x:v>
      </x:c>
      <x:c r="I81" s="43" t="str">
        <x:v>DAIKIN_INDUSTRIES NCI</x:v>
      </x:c>
      <x:c r="J81" s="43" t="str">
        <x:v>VALUATION</x:v>
      </x:c>
      <x:c r="K81" s="43" t="str">
        <x:v>LATEST_AVAILABLE_TO_2026-06-30</x:v>
      </x:c>
      <x:c r="L81" s="43" t="str">
        <x:v>https://query2.finance.yahoo.com/ws/fundamentals-timeseries/v1/finance/timeseries/6367.T</x:v>
      </x:c>
      <x:c r="M81" s="43" t="str">
        <x:v>2026-09-11</x:v>
      </x:c>
      <x:c r="N81" s="43" t="str">
        <x:v>Yahoo Finance fundamentals-timeseries endpoint</x:v>
      </x:c>
      <x:c r="O81" s="43" t="str">
        <x:v>JPY</x:v>
      </x:c>
      <x:c r="P81" s="43" t="n">
        <x:v>61884000000</x:v>
      </x:c>
      <x:c r="Q81" s="43" t="str">
        <x:v>R3-SRC-DAIKIN_INDUSTRIES-NCI</x:v>
      </x:c>
      <x:c r="R81" s="43" t="str">
        <x:v>PASS</x:v>
      </x:c>
      <x:c r="S81" s="43" t="str">
        <x:v>source-native; same-currency ratio</x:v>
      </x:c>
      <x:c r="T81" s="43" t="str">
        <x:v>PASS</x:v>
      </x:c>
    </x:row>
    <x:row r="82">
      <x:c r="A82" s="43" t="str">
        <x:v>2026-09-13</x:v>
      </x:c>
      <x:c r="B82" s="43" t="str">
        <x:v>H6_PEER_MULTIPLE</x:v>
      </x:c>
      <x:c r="C82" s="43" t="str">
        <x:v>sources/valuation/DAIKIN_INDUSTRIES_fundamentals.json</x:v>
      </x:c>
      <x:c r="D82" s="43" t="str">
        <x:v>04355743ef4d3d196f023d2ad6d635bc718d9ec93210055241363cef83e8a6ab</x:v>
      </x:c>
      <x:c r="E82" s="43" t="str">
        <x:v>Pinned peer fundamental payload</x:v>
      </x:c>
      <x:c r="F82" s="43" t="str">
        <x:v>JPY</x:v>
      </x:c>
      <x:c r="G82" s="43" t="n">
        <x:v>5015036000000</x:v>
      </x:c>
      <x:c r="H82" s="43" t="str">
        <x:v>PASS</x:v>
      </x:c>
      <x:c r="I82" s="43" t="str">
        <x:v>DAIKIN_INDUSTRIES Revenue</x:v>
      </x:c>
      <x:c r="J82" s="43" t="str">
        <x:v>VALUATION</x:v>
      </x:c>
      <x:c r="K82" s="43" t="str">
        <x:v>LATEST_AVAILABLE_TO_2026-06-30</x:v>
      </x:c>
      <x:c r="L82" s="43" t="str">
        <x:v>https://query2.finance.yahoo.com/ws/fundamentals-timeseries/v1/finance/timeseries/6367.T</x:v>
      </x:c>
      <x:c r="M82" s="43" t="str">
        <x:v>2026-09-11</x:v>
      </x:c>
      <x:c r="N82" s="43" t="str">
        <x:v>Yahoo Finance fundamentals-timeseries endpoint</x:v>
      </x:c>
      <x:c r="O82" s="43" t="str">
        <x:v>JPY</x:v>
      </x:c>
      <x:c r="P82" s="43" t="n">
        <x:v>5015036000000</x:v>
      </x:c>
      <x:c r="Q82" s="43" t="str">
        <x:v>R3-SRC-DAIKIN_INDUSTRIES-REVENUE</x:v>
      </x:c>
      <x:c r="R82" s="43" t="str">
        <x:v>PASS</x:v>
      </x:c>
      <x:c r="S82" s="43" t="str">
        <x:v>source-native; same-currency ratio</x:v>
      </x:c>
      <x:c r="T82" s="43" t="str">
        <x:v>PASS</x:v>
      </x:c>
    </x:row>
    <x:row r="83">
      <x:c r="A83" s="43" t="str">
        <x:v>2026-09-13</x:v>
      </x:c>
      <x:c r="B83" s="43" t="str">
        <x:v>H6_PEER_MULTIPLE</x:v>
      </x:c>
      <x:c r="C83" s="43" t="str">
        <x:v>sources/valuation/DAIKIN_INDUSTRIES_fundamentals.json</x:v>
      </x:c>
      <x:c r="D83" s="43" t="str">
        <x:v>04355743ef4d3d196f023d2ad6d635bc718d9ec93210055241363cef83e8a6ab</x:v>
      </x:c>
      <x:c r="E83" s="43" t="str">
        <x:v>Pinned peer fundamental payload</x:v>
      </x:c>
      <x:c r="F83" s="43" t="str">
        <x:v>JPY</x:v>
      </x:c>
      <x:c r="G83" s="43" t="n">
        <x:v>718810000000</x:v>
      </x:c>
      <x:c r="H83" s="43" t="str">
        <x:v>PASS</x:v>
      </x:c>
      <x:c r="I83" s="43" t="str">
        <x:v>DAIKIN_INDUSTRIES EBITDA</x:v>
      </x:c>
      <x:c r="J83" s="43" t="str">
        <x:v>VALUATION</x:v>
      </x:c>
      <x:c r="K83" s="43" t="str">
        <x:v>LATEST_AVAILABLE_TO_2026-06-30</x:v>
      </x:c>
      <x:c r="L83" s="43" t="str">
        <x:v>https://query2.finance.yahoo.com/ws/fundamentals-timeseries/v1/finance/timeseries/6367.T</x:v>
      </x:c>
      <x:c r="M83" s="43" t="str">
        <x:v>2026-09-11</x:v>
      </x:c>
      <x:c r="N83" s="43" t="str">
        <x:v>Yahoo Finance fundamentals-timeseries endpoint</x:v>
      </x:c>
      <x:c r="O83" s="43" t="str">
        <x:v>JPY</x:v>
      </x:c>
      <x:c r="P83" s="43" t="n">
        <x:v>718810000000</x:v>
      </x:c>
      <x:c r="Q83" s="43" t="str">
        <x:v>R3-SRC-DAIKIN_INDUSTRIES-EBITDA</x:v>
      </x:c>
      <x:c r="R83" s="43" t="str">
        <x:v>PASS</x:v>
      </x:c>
      <x:c r="S83" s="43" t="str">
        <x:v>source-native; same-currency ratio</x:v>
      </x:c>
      <x:c r="T83" s="43" t="str">
        <x:v>PASS</x:v>
      </x:c>
    </x:row>
    <x:row r="84">
      <x:c r="A84" s="43" t="str">
        <x:v>2026-09-13</x:v>
      </x:c>
      <x:c r="B84" s="43" t="str">
        <x:v>H6_PEER_MULTIPLE</x:v>
      </x:c>
      <x:c r="C84" s="43" t="str">
        <x:v>sources/valuation/DAIKIN_INDUSTRIES_fundamentals.json</x:v>
      </x:c>
      <x:c r="D84" s="43" t="str">
        <x:v>04355743ef4d3d196f023d2ad6d635bc718d9ec93210055241363cef83e8a6ab</x:v>
      </x:c>
      <x:c r="E84" s="43" t="str">
        <x:v>Pinned peer fundamental payload</x:v>
      </x:c>
      <x:c r="F84" s="43" t="str">
        <x:v>JPY</x:v>
      </x:c>
      <x:c r="G84" s="43" t="n">
        <x:v>442604000000</x:v>
      </x:c>
      <x:c r="H84" s="43" t="str">
        <x:v>PASS</x:v>
      </x:c>
      <x:c r="I84" s="43" t="str">
        <x:v>DAIKIN_INDUSTRIES EBIT</x:v>
      </x:c>
      <x:c r="J84" s="43" t="str">
        <x:v>VALUATION</x:v>
      </x:c>
      <x:c r="K84" s="43" t="str">
        <x:v>LATEST_AVAILABLE_TO_2026-06-30</x:v>
      </x:c>
      <x:c r="L84" s="43" t="str">
        <x:v>https://query2.finance.yahoo.com/ws/fundamentals-timeseries/v1/finance/timeseries/6367.T</x:v>
      </x:c>
      <x:c r="M84" s="43" t="str">
        <x:v>2026-09-11</x:v>
      </x:c>
      <x:c r="N84" s="43" t="str">
        <x:v>Yahoo Finance fundamentals-timeseries endpoint</x:v>
      </x:c>
      <x:c r="O84" s="43" t="str">
        <x:v>JPY</x:v>
      </x:c>
      <x:c r="P84" s="43" t="n">
        <x:v>442604000000</x:v>
      </x:c>
      <x:c r="Q84" s="43" t="str">
        <x:v>R3-SRC-DAIKIN_INDUSTRIES-EBIT</x:v>
      </x:c>
      <x:c r="R84" s="43" t="str">
        <x:v>PASS</x:v>
      </x:c>
      <x:c r="S84" s="43" t="str">
        <x:v>source-native; same-currency ratio</x:v>
      </x:c>
      <x:c r="T84" s="43" t="str">
        <x:v>PASS</x:v>
      </x:c>
    </x:row>
    <x:row r="85">
      <x:c r="A85" s="43" t="str">
        <x:v>2026-09-13</x:v>
      </x:c>
      <x:c r="B85" s="43" t="str">
        <x:v>H6_PEER_MULTIPLE</x:v>
      </x:c>
      <x:c r="C85" s="43" t="str">
        <x:v>sources/valuation/DAIKIN_INDUSTRIES_fundamentals.json</x:v>
      </x:c>
      <x:c r="D85" s="43" t="str">
        <x:v>04355743ef4d3d196f023d2ad6d635bc718d9ec93210055241363cef83e8a6ab</x:v>
      </x:c>
      <x:c r="E85" s="43" t="str">
        <x:v>Pinned peer fundamental payload</x:v>
      </x:c>
      <x:c r="F85" s="43" t="str">
        <x:v>JPY</x:v>
      </x:c>
      <x:c r="G85" s="43" t="n">
        <x:v>275229000000</x:v>
      </x:c>
      <x:c r="H85" s="43" t="str">
        <x:v>PASS</x:v>
      </x:c>
      <x:c r="I85" s="43" t="str">
        <x:v>DAIKIN_INDUSTRIES Earnings</x:v>
      </x:c>
      <x:c r="J85" s="43" t="str">
        <x:v>VALUATION</x:v>
      </x:c>
      <x:c r="K85" s="43" t="str">
        <x:v>LATEST_AVAILABLE_TO_2026-06-30</x:v>
      </x:c>
      <x:c r="L85" s="43" t="str">
        <x:v>https://query2.finance.yahoo.com/ws/fundamentals-timeseries/v1/finance/timeseries/6367.T</x:v>
      </x:c>
      <x:c r="M85" s="43" t="str">
        <x:v>2026-09-11</x:v>
      </x:c>
      <x:c r="N85" s="43" t="str">
        <x:v>Yahoo Finance fundamentals-timeseries endpoint</x:v>
      </x:c>
      <x:c r="O85" s="43" t="str">
        <x:v>JPY</x:v>
      </x:c>
      <x:c r="P85" s="43" t="n">
        <x:v>275229000000</x:v>
      </x:c>
      <x:c r="Q85" s="43" t="str">
        <x:v>R3-SRC-DAIKIN_INDUSTRIES-EARNINGS</x:v>
      </x:c>
      <x:c r="R85" s="43" t="str">
        <x:v>PASS</x:v>
      </x:c>
      <x:c r="S85" s="43" t="str">
        <x:v>source-native; same-currency ratio</x:v>
      </x:c>
      <x:c r="T85" s="43" t="str">
        <x:v>PASS</x:v>
      </x:c>
    </x:row>
    <x:row r="86">
      <x:c r="A86" s="43" t="str">
        <x:v>2026-09-13</x:v>
      </x:c>
      <x:c r="B86" s="43" t="str">
        <x:v>H6_PEER_MULTIPLE</x:v>
      </x:c>
      <x:c r="C86" s="43" t="str">
        <x:v>sources/valuation/DAIKIN_INDUSTRIES_fundamentals.json</x:v>
      </x:c>
      <x:c r="D86" s="43" t="str">
        <x:v>04355743ef4d3d196f023d2ad6d635bc718d9ec93210055241363cef83e8a6ab</x:v>
      </x:c>
      <x:c r="E86" s="43" t="str">
        <x:v>Pinned peer fundamental payload</x:v>
      </x:c>
      <x:c r="F86" s="43" t="str">
        <x:v>JPY</x:v>
      </x:c>
      <x:c r="G86" s="43" t="n">
        <x:v>3254652000000</x:v>
      </x:c>
      <x:c r="H86" s="43" t="str">
        <x:v>PASS</x:v>
      </x:c>
      <x:c r="I86" s="43" t="str">
        <x:v>DAIKIN_INDUSTRIES Book_Equity</x:v>
      </x:c>
      <x:c r="J86" s="43" t="str">
        <x:v>VALUATION</x:v>
      </x:c>
      <x:c r="K86" s="43" t="str">
        <x:v>LATEST_AVAILABLE_TO_2026-06-30</x:v>
      </x:c>
      <x:c r="L86" s="43" t="str">
        <x:v>https://query2.finance.yahoo.com/ws/fundamentals-timeseries/v1/finance/timeseries/6367.T</x:v>
      </x:c>
      <x:c r="M86" s="43" t="str">
        <x:v>2026-09-11</x:v>
      </x:c>
      <x:c r="N86" s="43" t="str">
        <x:v>Yahoo Finance fundamentals-timeseries endpoint</x:v>
      </x:c>
      <x:c r="O86" s="43" t="str">
        <x:v>JPY</x:v>
      </x:c>
      <x:c r="P86" s="43" t="n">
        <x:v>3254652000000</x:v>
      </x:c>
      <x:c r="Q86" s="43" t="str">
        <x:v>R3-SRC-DAIKIN_INDUSTRIES-BOOK_EQUITY</x:v>
      </x:c>
      <x:c r="R86" s="43" t="str">
        <x:v>PASS</x:v>
      </x:c>
      <x:c r="S86" s="43" t="str">
        <x:v>source-native; same-currency ratio</x:v>
      </x:c>
      <x:c r="T86" s="43" t="str">
        <x:v>PASS</x:v>
      </x:c>
    </x:row>
    <x:row r="87">
      <x:c r="A87" s="43" t="str">
        <x:v>2026-09-13</x:v>
      </x:c>
      <x:c r="B87" s="43" t="str">
        <x:v>H6_PEER_MARKET_DATA</x:v>
      </x:c>
      <x:c r="C87" s="43" t="str">
        <x:v>sources/valuation/PANASONIC_HOLDINGS_price.json</x:v>
      </x:c>
      <x:c r="D87" s="43" t="str">
        <x:v>36e47945be69a409924409cf15382c32055fb3a446148066924a260d73519d21</x:v>
      </x:c>
      <x:c r="E87" s="43" t="str">
        <x:v>Pinned peer price payload</x:v>
      </x:c>
      <x:c r="F87" s="43" t="str">
        <x:v>JPY_PER_SHARE</x:v>
      </x:c>
      <x:c r="G87" s="43" t="n">
        <x:v>4200</x:v>
      </x:c>
      <x:c r="H87" s="43" t="str">
        <x:v>PASS</x:v>
      </x:c>
      <x:c r="I87" s="43" t="str">
        <x:v>PANASONIC_HOLDINGS share price</x:v>
      </x:c>
      <x:c r="J87" s="43" t="str">
        <x:v>VALUATION</x:v>
      </x:c>
      <x:c r="K87" s="43" t="str">
        <x:v>2026-09-11</x:v>
      </x:c>
      <x:c r="L87" s="43" t="str">
        <x:v>https://query1.finance.yahoo.com/v8/finance/chart/6752.T</x:v>
      </x:c>
      <x:c r="M87" s="43" t="str">
        <x:v>2026-09-11</x:v>
      </x:c>
      <x:c r="N87" s="43" t="str">
        <x:v>Yahoo Finance chart endpoint</x:v>
      </x:c>
      <x:c r="O87" s="43" t="str">
        <x:v>JPY_PER_SHARE</x:v>
      </x:c>
      <x:c r="P87" s="43" t="n">
        <x:v>4200</x:v>
      </x:c>
      <x:c r="Q87" s="43" t="str">
        <x:v>R3-SRC-PANASONIC_HOLDINGS-PRICE</x:v>
      </x:c>
      <x:c r="R87" s="43" t="str">
        <x:v>PASS</x:v>
      </x:c>
      <x:c r="S87" s="43" t="str">
        <x:v>none</x:v>
      </x:c>
      <x:c r="T87" s="43" t="str">
        <x:v>PASS</x:v>
      </x:c>
    </x:row>
    <x:row r="88">
      <x:c r="A88" s="43" t="str">
        <x:v>2026-09-13</x:v>
      </x:c>
      <x:c r="B88" s="43" t="str">
        <x:v>H6_PEER_MULTIPLE</x:v>
      </x:c>
      <x:c r="C88" s="43" t="str">
        <x:v>sources/valuation/PANASONIC_HOLDINGS_fundamentals.json</x:v>
      </x:c>
      <x:c r="D88" s="43" t="str">
        <x:v>e693d5ec05785fc8792ee65f8a368ae4d1a278f7d01ff7f325e5fa184c22c18a</x:v>
      </x:c>
      <x:c r="E88" s="43" t="str">
        <x:v>Pinned peer fundamental payload</x:v>
      </x:c>
      <x:c r="F88" s="43" t="str">
        <x:v>JPY</x:v>
      </x:c>
      <x:c r="G88" s="43" t="n">
        <x:v>2334702707</x:v>
      </x:c>
      <x:c r="H88" s="43" t="str">
        <x:v>PASS</x:v>
      </x:c>
      <x:c r="I88" s="43" t="str">
        <x:v>PANASONIC_HOLDINGS Shares</x:v>
      </x:c>
      <x:c r="J88" s="43" t="str">
        <x:v>VALUATION</x:v>
      </x:c>
      <x:c r="K88" s="43" t="str">
        <x:v>LATEST_AVAILABLE_TO_2026-06-30</x:v>
      </x:c>
      <x:c r="L88" s="43" t="str">
        <x:v>https://query2.finance.yahoo.com/ws/fundamentals-timeseries/v1/finance/timeseries/6752.T</x:v>
      </x:c>
      <x:c r="M88" s="43" t="str">
        <x:v>2026-09-11</x:v>
      </x:c>
      <x:c r="N88" s="43" t="str">
        <x:v>Yahoo Finance fundamentals-timeseries endpoint</x:v>
      </x:c>
      <x:c r="O88" s="43" t="str">
        <x:v>JPY</x:v>
      </x:c>
      <x:c r="P88" s="43" t="n">
        <x:v>2334702707</x:v>
      </x:c>
      <x:c r="Q88" s="43" t="str">
        <x:v>R3-SRC-PANASONIC_HOLDINGS-SHARES</x:v>
      </x:c>
      <x:c r="R88" s="43" t="str">
        <x:v>PASS</x:v>
      </x:c>
      <x:c r="S88" s="43" t="str">
        <x:v>source-native; same-currency ratio</x:v>
      </x:c>
      <x:c r="T88" s="43" t="str">
        <x:v>PASS</x:v>
      </x:c>
    </x:row>
    <x:row r="89">
      <x:c r="A89" s="43" t="str">
        <x:v>2026-09-13</x:v>
      </x:c>
      <x:c r="B89" s="43" t="str">
        <x:v>H6_PEER_MULTIPLE</x:v>
      </x:c>
      <x:c r="C89" s="43" t="str">
        <x:v>sources/valuation/PANASONIC_HOLDINGS_fundamentals.json</x:v>
      </x:c>
      <x:c r="D89" s="43" t="str">
        <x:v>e693d5ec05785fc8792ee65f8a368ae4d1a278f7d01ff7f325e5fa184c22c18a</x:v>
      </x:c>
      <x:c r="E89" s="43" t="str">
        <x:v>Pinned peer fundamental payload</x:v>
      </x:c>
      <x:c r="F89" s="43" t="str">
        <x:v>JPY</x:v>
      </x:c>
      <x:c r="G89" s="43" t="n">
        <x:v>1603197000000</x:v>
      </x:c>
      <x:c r="H89" s="43" t="str">
        <x:v>PASS</x:v>
      </x:c>
      <x:c r="I89" s="43" t="str">
        <x:v>PANASONIC_HOLDINGS Debt</x:v>
      </x:c>
      <x:c r="J89" s="43" t="str">
        <x:v>VALUATION</x:v>
      </x:c>
      <x:c r="K89" s="43" t="str">
        <x:v>LATEST_AVAILABLE_TO_2026-06-30</x:v>
      </x:c>
      <x:c r="L89" s="43" t="str">
        <x:v>https://query2.finance.yahoo.com/ws/fundamentals-timeseries/v1/finance/timeseries/6752.T</x:v>
      </x:c>
      <x:c r="M89" s="43" t="str">
        <x:v>2026-09-11</x:v>
      </x:c>
      <x:c r="N89" s="43" t="str">
        <x:v>Yahoo Finance fundamentals-timeseries endpoint</x:v>
      </x:c>
      <x:c r="O89" s="43" t="str">
        <x:v>JPY</x:v>
      </x:c>
      <x:c r="P89" s="43" t="n">
        <x:v>1603197000000</x:v>
      </x:c>
      <x:c r="Q89" s="43" t="str">
        <x:v>R3-SRC-PANASONIC_HOLDINGS-DEBT</x:v>
      </x:c>
      <x:c r="R89" s="43" t="str">
        <x:v>PASS</x:v>
      </x:c>
      <x:c r="S89" s="43" t="str">
        <x:v>source-native; same-currency ratio</x:v>
      </x:c>
      <x:c r="T89" s="43" t="str">
        <x:v>PASS</x:v>
      </x:c>
    </x:row>
    <x:row r="90">
      <x:c r="A90" s="43" t="str">
        <x:v>2026-09-13</x:v>
      </x:c>
      <x:c r="B90" s="43" t="str">
        <x:v>H6_PEER_MULTIPLE</x:v>
      </x:c>
      <x:c r="C90" s="43" t="str">
        <x:v>sources/valuation/PANASONIC_HOLDINGS_fundamentals.json</x:v>
      </x:c>
      <x:c r="D90" s="43" t="str">
        <x:v>e693d5ec05785fc8792ee65f8a368ae4d1a278f7d01ff7f325e5fa184c22c18a</x:v>
      </x:c>
      <x:c r="E90" s="43" t="str">
        <x:v>Pinned peer fundamental payload</x:v>
      </x:c>
      <x:c r="F90" s="43" t="str">
        <x:v>JPY</x:v>
      </x:c>
      <x:c r="G90" s="43" t="n">
        <x:v>967278000000</x:v>
      </x:c>
      <x:c r="H90" s="43" t="str">
        <x:v>PASS</x:v>
      </x:c>
      <x:c r="I90" s="43" t="str">
        <x:v>PANASONIC_HOLDINGS Cash</x:v>
      </x:c>
      <x:c r="J90" s="43" t="str">
        <x:v>VALUATION</x:v>
      </x:c>
      <x:c r="K90" s="43" t="str">
        <x:v>LATEST_AVAILABLE_TO_2026-06-30</x:v>
      </x:c>
      <x:c r="L90" s="43" t="str">
        <x:v>https://query2.finance.yahoo.com/ws/fundamentals-timeseries/v1/finance/timeseries/6752.T</x:v>
      </x:c>
      <x:c r="M90" s="43" t="str">
        <x:v>2026-09-11</x:v>
      </x:c>
      <x:c r="N90" s="43" t="str">
        <x:v>Yahoo Finance fundamentals-timeseries endpoint</x:v>
      </x:c>
      <x:c r="O90" s="43" t="str">
        <x:v>JPY</x:v>
      </x:c>
      <x:c r="P90" s="43" t="n">
        <x:v>967278000000</x:v>
      </x:c>
      <x:c r="Q90" s="43" t="str">
        <x:v>R3-SRC-PANASONIC_HOLDINGS-CASH</x:v>
      </x:c>
      <x:c r="R90" s="43" t="str">
        <x:v>PASS</x:v>
      </x:c>
      <x:c r="S90" s="43" t="str">
        <x:v>source-native; same-currency ratio</x:v>
      </x:c>
      <x:c r="T90" s="43" t="str">
        <x:v>PASS</x:v>
      </x:c>
    </x:row>
    <x:row r="91">
      <x:c r="A91" s="43" t="str">
        <x:v>2026-09-13</x:v>
      </x:c>
      <x:c r="B91" s="43" t="str">
        <x:v>H6_PEER_MULTIPLE</x:v>
      </x:c>
      <x:c r="C91" s="43" t="str">
        <x:v>sources/valuation/PANASONIC_HOLDINGS_fundamentals.json</x:v>
      </x:c>
      <x:c r="D91" s="43" t="str">
        <x:v>e693d5ec05785fc8792ee65f8a368ae4d1a278f7d01ff7f325e5fa184c22c18a</x:v>
      </x:c>
      <x:c r="E91" s="43" t="str">
        <x:v>Pinned peer fundamental payload</x:v>
      </x:c>
      <x:c r="F91" s="43" t="str">
        <x:v>JPY</x:v>
      </x:c>
      <x:c r="G91" s="43" t="n">
        <x:v>170683000000</x:v>
      </x:c>
      <x:c r="H91" s="43" t="str">
        <x:v>PASS</x:v>
      </x:c>
      <x:c r="I91" s="43" t="str">
        <x:v>PANASONIC_HOLDINGS NCI</x:v>
      </x:c>
      <x:c r="J91" s="43" t="str">
        <x:v>VALUATION</x:v>
      </x:c>
      <x:c r="K91" s="43" t="str">
        <x:v>LATEST_AVAILABLE_TO_2026-06-30</x:v>
      </x:c>
      <x:c r="L91" s="43" t="str">
        <x:v>https://query2.finance.yahoo.com/ws/fundamentals-timeseries/v1/finance/timeseries/6752.T</x:v>
      </x:c>
      <x:c r="M91" s="43" t="str">
        <x:v>2026-09-11</x:v>
      </x:c>
      <x:c r="N91" s="43" t="str">
        <x:v>Yahoo Finance fundamentals-timeseries endpoint</x:v>
      </x:c>
      <x:c r="O91" s="43" t="str">
        <x:v>JPY</x:v>
      </x:c>
      <x:c r="P91" s="43" t="n">
        <x:v>170683000000</x:v>
      </x:c>
      <x:c r="Q91" s="43" t="str">
        <x:v>R3-SRC-PANASONIC_HOLDINGS-NCI</x:v>
      </x:c>
      <x:c r="R91" s="43" t="str">
        <x:v>PASS</x:v>
      </x:c>
      <x:c r="S91" s="43" t="str">
        <x:v>source-native; same-currency ratio</x:v>
      </x:c>
      <x:c r="T91" s="43" t="str">
        <x:v>PASS</x:v>
      </x:c>
    </x:row>
    <x:row r="92">
      <x:c r="A92" s="43" t="str">
        <x:v>2026-09-13</x:v>
      </x:c>
      <x:c r="B92" s="43" t="str">
        <x:v>H6_PEER_MULTIPLE</x:v>
      </x:c>
      <x:c r="C92" s="43" t="str">
        <x:v>sources/valuation/PANASONIC_HOLDINGS_fundamentals.json</x:v>
      </x:c>
      <x:c r="D92" s="43" t="str">
        <x:v>e693d5ec05785fc8792ee65f8a368ae4d1a278f7d01ff7f325e5fa184c22c18a</x:v>
      </x:c>
      <x:c r="E92" s="43" t="str">
        <x:v>Pinned peer fundamental payload</x:v>
      </x:c>
      <x:c r="F92" s="43" t="str">
        <x:v>JPY</x:v>
      </x:c>
      <x:c r="G92" s="43" t="n">
        <x:v>8048722000000</x:v>
      </x:c>
      <x:c r="H92" s="43" t="str">
        <x:v>PASS</x:v>
      </x:c>
      <x:c r="I92" s="43" t="str">
        <x:v>PANASONIC_HOLDINGS Revenue</x:v>
      </x:c>
      <x:c r="J92" s="43" t="str">
        <x:v>VALUATION</x:v>
      </x:c>
      <x:c r="K92" s="43" t="str">
        <x:v>LATEST_AVAILABLE_TO_2026-06-30</x:v>
      </x:c>
      <x:c r="L92" s="43" t="str">
        <x:v>https://query2.finance.yahoo.com/ws/fundamentals-timeseries/v1/finance/timeseries/6752.T</x:v>
      </x:c>
      <x:c r="M92" s="43" t="str">
        <x:v>2026-09-11</x:v>
      </x:c>
      <x:c r="N92" s="43" t="str">
        <x:v>Yahoo Finance fundamentals-timeseries endpoint</x:v>
      </x:c>
      <x:c r="O92" s="43" t="str">
        <x:v>JPY</x:v>
      </x:c>
      <x:c r="P92" s="43" t="n">
        <x:v>8048722000000</x:v>
      </x:c>
      <x:c r="Q92" s="43" t="str">
        <x:v>R3-SRC-PANASONIC_HOLDINGS-REVENUE</x:v>
      </x:c>
      <x:c r="R92" s="43" t="str">
        <x:v>PASS</x:v>
      </x:c>
      <x:c r="S92" s="43" t="str">
        <x:v>source-native; same-currency ratio</x:v>
      </x:c>
      <x:c r="T92" s="43" t="str">
        <x:v>PASS</x:v>
      </x:c>
    </x:row>
    <x:row r="93">
      <x:c r="A93" s="43" t="str">
        <x:v>2026-09-13</x:v>
      </x:c>
      <x:c r="B93" s="43" t="str">
        <x:v>H6_PEER_MULTIPLE</x:v>
      </x:c>
      <x:c r="C93" s="43" t="str">
        <x:v>sources/valuation/PANASONIC_HOLDINGS_fundamentals.json</x:v>
      </x:c>
      <x:c r="D93" s="43" t="str">
        <x:v>e693d5ec05785fc8792ee65f8a368ae4d1a278f7d01ff7f325e5fa184c22c18a</x:v>
      </x:c>
      <x:c r="E93" s="43" t="str">
        <x:v>Pinned peer fundamental payload</x:v>
      </x:c>
      <x:c r="F93" s="43" t="str">
        <x:v>JPY</x:v>
      </x:c>
      <x:c r="G93" s="43" t="n">
        <x:v>305107000000</x:v>
      </x:c>
      <x:c r="H93" s="43" t="str">
        <x:v>PASS</x:v>
      </x:c>
      <x:c r="I93" s="43" t="str">
        <x:v>PANASONIC_HOLDINGS EBITDA</x:v>
      </x:c>
      <x:c r="J93" s="43" t="str">
        <x:v>VALUATION</x:v>
      </x:c>
      <x:c r="K93" s="43" t="str">
        <x:v>LATEST_AVAILABLE_TO_2026-06-30</x:v>
      </x:c>
      <x:c r="L93" s="43" t="str">
        <x:v>https://query2.finance.yahoo.com/ws/fundamentals-timeseries/v1/finance/timeseries/6752.T</x:v>
      </x:c>
      <x:c r="M93" s="43" t="str">
        <x:v>2026-09-11</x:v>
      </x:c>
      <x:c r="N93" s="43" t="str">
        <x:v>Yahoo Finance fundamentals-timeseries endpoint</x:v>
      </x:c>
      <x:c r="O93" s="43" t="str">
        <x:v>JPY</x:v>
      </x:c>
      <x:c r="P93" s="43" t="n">
        <x:v>305107000000</x:v>
      </x:c>
      <x:c r="Q93" s="43" t="str">
        <x:v>R3-SRC-PANASONIC_HOLDINGS-EBITDA</x:v>
      </x:c>
      <x:c r="R93" s="43" t="str">
        <x:v>PASS</x:v>
      </x:c>
      <x:c r="S93" s="43" t="str">
        <x:v>source-native; same-currency ratio</x:v>
      </x:c>
      <x:c r="T93" s="43" t="str">
        <x:v>PASS</x:v>
      </x:c>
    </x:row>
    <x:row r="94">
      <x:c r="A94" s="43" t="str">
        <x:v>2026-09-13</x:v>
      </x:c>
      <x:c r="B94" s="43" t="str">
        <x:v>H6_PEER_MULTIPLE</x:v>
      </x:c>
      <x:c r="C94" s="43" t="str">
        <x:v>sources/valuation/PANASONIC_HOLDINGS_fundamentals.json</x:v>
      </x:c>
      <x:c r="D94" s="43" t="str">
        <x:v>e693d5ec05785fc8792ee65f8a368ae4d1a278f7d01ff7f325e5fa184c22c18a</x:v>
      </x:c>
      <x:c r="E94" s="43" t="str">
        <x:v>Pinned peer fundamental payload</x:v>
      </x:c>
      <x:c r="F94" s="43" t="str">
        <x:v>JPY</x:v>
      </x:c>
      <x:c r="G94" s="43" t="n">
        <x:v>305107000000</x:v>
      </x:c>
      <x:c r="H94" s="43" t="str">
        <x:v>PASS</x:v>
      </x:c>
      <x:c r="I94" s="43" t="str">
        <x:v>PANASONIC_HOLDINGS EBIT</x:v>
      </x:c>
      <x:c r="J94" s="43" t="str">
        <x:v>VALUATION</x:v>
      </x:c>
      <x:c r="K94" s="43" t="str">
        <x:v>LATEST_AVAILABLE_TO_2026-06-30</x:v>
      </x:c>
      <x:c r="L94" s="43" t="str">
        <x:v>https://query2.finance.yahoo.com/ws/fundamentals-timeseries/v1/finance/timeseries/6752.T</x:v>
      </x:c>
      <x:c r="M94" s="43" t="str">
        <x:v>2026-09-11</x:v>
      </x:c>
      <x:c r="N94" s="43" t="str">
        <x:v>Yahoo Finance fundamentals-timeseries endpoint</x:v>
      </x:c>
      <x:c r="O94" s="43" t="str">
        <x:v>JPY</x:v>
      </x:c>
      <x:c r="P94" s="43" t="n">
        <x:v>305107000000</x:v>
      </x:c>
      <x:c r="Q94" s="43" t="str">
        <x:v>R3-SRC-PANASONIC_HOLDINGS-EBIT</x:v>
      </x:c>
      <x:c r="R94" s="43" t="str">
        <x:v>PASS</x:v>
      </x:c>
      <x:c r="S94" s="43" t="str">
        <x:v>source-native; same-currency ratio</x:v>
      </x:c>
      <x:c r="T94" s="43" t="str">
        <x:v>PASS</x:v>
      </x:c>
    </x:row>
    <x:row r="95">
      <x:c r="A95" s="43" t="str">
        <x:v>2026-09-13</x:v>
      </x:c>
      <x:c r="B95" s="43" t="str">
        <x:v>H6_PEER_MULTIPLE</x:v>
      </x:c>
      <x:c r="C95" s="43" t="str">
        <x:v>sources/valuation/PANASONIC_HOLDINGS_fundamentals.json</x:v>
      </x:c>
      <x:c r="D95" s="43" t="str">
        <x:v>e693d5ec05785fc8792ee65f8a368ae4d1a278f7d01ff7f325e5fa184c22c18a</x:v>
      </x:c>
      <x:c r="E95" s="43" t="str">
        <x:v>Pinned peer fundamental payload</x:v>
      </x:c>
      <x:c r="F95" s="43" t="str">
        <x:v>JPY</x:v>
      </x:c>
      <x:c r="G95" s="43" t="n">
        <x:v>189540000000</x:v>
      </x:c>
      <x:c r="H95" s="43" t="str">
        <x:v>PASS</x:v>
      </x:c>
      <x:c r="I95" s="43" t="str">
        <x:v>PANASONIC_HOLDINGS Earnings</x:v>
      </x:c>
      <x:c r="J95" s="43" t="str">
        <x:v>VALUATION</x:v>
      </x:c>
      <x:c r="K95" s="43" t="str">
        <x:v>LATEST_AVAILABLE_TO_2026-06-30</x:v>
      </x:c>
      <x:c r="L95" s="43" t="str">
        <x:v>https://query2.finance.yahoo.com/ws/fundamentals-timeseries/v1/finance/timeseries/6752.T</x:v>
      </x:c>
      <x:c r="M95" s="43" t="str">
        <x:v>2026-09-11</x:v>
      </x:c>
      <x:c r="N95" s="43" t="str">
        <x:v>Yahoo Finance fundamentals-timeseries endpoint</x:v>
      </x:c>
      <x:c r="O95" s="43" t="str">
        <x:v>JPY</x:v>
      </x:c>
      <x:c r="P95" s="43" t="n">
        <x:v>189540000000</x:v>
      </x:c>
      <x:c r="Q95" s="43" t="str">
        <x:v>R3-SRC-PANASONIC_HOLDINGS-EARNINGS</x:v>
      </x:c>
      <x:c r="R95" s="43" t="str">
        <x:v>PASS</x:v>
      </x:c>
      <x:c r="S95" s="43" t="str">
        <x:v>source-native; same-currency ratio</x:v>
      </x:c>
      <x:c r="T95" s="43" t="str">
        <x:v>PASS</x:v>
      </x:c>
    </x:row>
    <x:row r="96">
      <x:c r="A96" s="43" t="str">
        <x:v>2026-09-13</x:v>
      </x:c>
      <x:c r="B96" s="43" t="str">
        <x:v>H6_PEER_MULTIPLE</x:v>
      </x:c>
      <x:c r="C96" s="43" t="str">
        <x:v>sources/valuation/PANASONIC_HOLDINGS_fundamentals.json</x:v>
      </x:c>
      <x:c r="D96" s="43" t="str">
        <x:v>e693d5ec05785fc8792ee65f8a368ae4d1a278f7d01ff7f325e5fa184c22c18a</x:v>
      </x:c>
      <x:c r="E96" s="43" t="str">
        <x:v>Pinned peer fundamental payload</x:v>
      </x:c>
      <x:c r="F96" s="43" t="str">
        <x:v>JPY</x:v>
      </x:c>
      <x:c r="G96" s="43" t="n">
        <x:v>5211272000000</x:v>
      </x:c>
      <x:c r="H96" s="43" t="str">
        <x:v>PASS</x:v>
      </x:c>
      <x:c r="I96" s="43" t="str">
        <x:v>PANASONIC_HOLDINGS Book_Equity</x:v>
      </x:c>
      <x:c r="J96" s="43" t="str">
        <x:v>VALUATION</x:v>
      </x:c>
      <x:c r="K96" s="43" t="str">
        <x:v>LATEST_AVAILABLE_TO_2026-06-30</x:v>
      </x:c>
      <x:c r="L96" s="43" t="str">
        <x:v>https://query2.finance.yahoo.com/ws/fundamentals-timeseries/v1/finance/timeseries/6752.T</x:v>
      </x:c>
      <x:c r="M96" s="43" t="str">
        <x:v>2026-09-11</x:v>
      </x:c>
      <x:c r="N96" s="43" t="str">
        <x:v>Yahoo Finance fundamentals-timeseries endpoint</x:v>
      </x:c>
      <x:c r="O96" s="43" t="str">
        <x:v>JPY</x:v>
      </x:c>
      <x:c r="P96" s="43" t="n">
        <x:v>5211272000000</x:v>
      </x:c>
      <x:c r="Q96" s="43" t="str">
        <x:v>R3-SRC-PANASONIC_HOLDINGS-BOOK_EQUITY</x:v>
      </x:c>
      <x:c r="R96" s="43" t="str">
        <x:v>PASS</x:v>
      </x:c>
      <x:c r="S96" s="43" t="str">
        <x:v>source-native; same-currency ratio</x:v>
      </x:c>
      <x:c r="T96" s="43" t="str">
        <x:v>PASS</x:v>
      </x:c>
    </x:row>
    <x:row r="97">
      <x:c r="A97" s="43" t="str">
        <x:v>2026-09-13</x:v>
      </x:c>
      <x:c r="B97" s="43" t="str">
        <x:v>H6_PEER_MARKET_DATA</x:v>
      </x:c>
      <x:c r="C97" s="43" t="str">
        <x:v>sources/valuation/SCHNEIDER_ELECTRIC_price.json</x:v>
      </x:c>
      <x:c r="D97" s="43" t="str">
        <x:v>e0fbb5252468e9d29686cfd051ddcc28e7732d69a6c24f3712fe947987613fe9</x:v>
      </x:c>
      <x:c r="E97" s="43" t="str">
        <x:v>Pinned peer price payload</x:v>
      </x:c>
      <x:c r="F97" s="43" t="str">
        <x:v>EUR_PER_SHARE</x:v>
      </x:c>
      <x:c r="G97" s="43" t="n">
        <x:v>291.1000061</x:v>
      </x:c>
      <x:c r="H97" s="43" t="str">
        <x:v>PASS</x:v>
      </x:c>
      <x:c r="I97" s="43" t="str">
        <x:v>SCHNEIDER_ELECTRIC share price</x:v>
      </x:c>
      <x:c r="J97" s="43" t="str">
        <x:v>VALUATION</x:v>
      </x:c>
      <x:c r="K97" s="43" t="str">
        <x:v>2026-09-11</x:v>
      </x:c>
      <x:c r="L97" s="43" t="str">
        <x:v>https://query1.finance.yahoo.com/v8/finance/chart/SU.PA</x:v>
      </x:c>
      <x:c r="M97" s="43" t="str">
        <x:v>2026-09-11</x:v>
      </x:c>
      <x:c r="N97" s="43" t="str">
        <x:v>Yahoo Finance chart endpoint</x:v>
      </x:c>
      <x:c r="O97" s="43" t="str">
        <x:v>EUR_PER_SHARE</x:v>
      </x:c>
      <x:c r="P97" s="43" t="n">
        <x:v>291.1000061</x:v>
      </x:c>
      <x:c r="Q97" s="43" t="str">
        <x:v>R3-SRC-SCHNEIDER_ELECTRIC-PRICE</x:v>
      </x:c>
      <x:c r="R97" s="43" t="str">
        <x:v>PASS</x:v>
      </x:c>
      <x:c r="S97" s="43" t="str">
        <x:v>none</x:v>
      </x:c>
      <x:c r="T97" s="43" t="str">
        <x:v>PASS</x:v>
      </x:c>
    </x:row>
    <x:row r="98">
      <x:c r="A98" s="43" t="str">
        <x:v>2026-09-13</x:v>
      </x:c>
      <x:c r="B98" s="43" t="str">
        <x:v>H6_PEER_MULTIPLE</x:v>
      </x:c>
      <x:c r="C98" s="43" t="str">
        <x:v>sources/valuation/SCHNEIDER_ELECTRIC_fundamentals.json</x:v>
      </x:c>
      <x:c r="D98" s="43" t="str">
        <x:v>160a3c57bddf6107a8b3d861337f3deb7e0b714d352a6d05a713b91c79ef6c66</x:v>
      </x:c>
      <x:c r="E98" s="43" t="str">
        <x:v>Pinned peer fundamental payload</x:v>
      </x:c>
      <x:c r="F98" s="43" t="str">
        <x:v>EUR</x:v>
      </x:c>
      <x:c r="G98" s="43" t="n">
        <x:v>562327586</x:v>
      </x:c>
      <x:c r="H98" s="43" t="str">
        <x:v>PASS</x:v>
      </x:c>
      <x:c r="I98" s="43" t="str">
        <x:v>SCHNEIDER_ELECTRIC Shares</x:v>
      </x:c>
      <x:c r="J98" s="43" t="str">
        <x:v>VALUATION</x:v>
      </x:c>
      <x:c r="K98" s="43" t="str">
        <x:v>LATEST_AVAILABLE_TO_2026-06-30</x:v>
      </x:c>
      <x:c r="L98" s="43" t="str">
        <x:v>https://query2.finance.yahoo.com/ws/fundamentals-timeseries/v1/finance/timeseries/SU.PA</x:v>
      </x:c>
      <x:c r="M98" s="43" t="str">
        <x:v>2026-09-11</x:v>
      </x:c>
      <x:c r="N98" s="43" t="str">
        <x:v>Yahoo Finance fundamentals-timeseries endpoint</x:v>
      </x:c>
      <x:c r="O98" s="43" t="str">
        <x:v>EUR</x:v>
      </x:c>
      <x:c r="P98" s="43" t="n">
        <x:v>562327586</x:v>
      </x:c>
      <x:c r="Q98" s="43" t="str">
        <x:v>R3-SRC-SCHNEIDER_ELECTRIC-SHARES</x:v>
      </x:c>
      <x:c r="R98" s="43" t="str">
        <x:v>PASS</x:v>
      </x:c>
      <x:c r="S98" s="43" t="str">
        <x:v>source-native; same-currency ratio</x:v>
      </x:c>
      <x:c r="T98" s="43" t="str">
        <x:v>PASS</x:v>
      </x:c>
    </x:row>
    <x:row r="99">
      <x:c r="A99" s="43" t="str">
        <x:v>2026-09-13</x:v>
      </x:c>
      <x:c r="B99" s="43" t="str">
        <x:v>H6_PEER_MULTIPLE</x:v>
      </x:c>
      <x:c r="C99" s="43" t="str">
        <x:v>sources/valuation/SCHNEIDER_ELECTRIC_fundamentals.json</x:v>
      </x:c>
      <x:c r="D99" s="43" t="str">
        <x:v>160a3c57bddf6107a8b3d861337f3deb7e0b714d352a6d05a713b91c79ef6c66</x:v>
      </x:c>
      <x:c r="E99" s="43" t="str">
        <x:v>Pinned peer fundamental payload</x:v>
      </x:c>
      <x:c r="F99" s="43" t="str">
        <x:v>EUR</x:v>
      </x:c>
      <x:c r="G99" s="43" t="n">
        <x:v>19390000000</x:v>
      </x:c>
      <x:c r="H99" s="43" t="str">
        <x:v>PASS</x:v>
      </x:c>
      <x:c r="I99" s="43" t="str">
        <x:v>SCHNEIDER_ELECTRIC Debt</x:v>
      </x:c>
      <x:c r="J99" s="43" t="str">
        <x:v>VALUATION</x:v>
      </x:c>
      <x:c r="K99" s="43" t="str">
        <x:v>LATEST_AVAILABLE_TO_2026-06-30</x:v>
      </x:c>
      <x:c r="L99" s="43" t="str">
        <x:v>https://query2.finance.yahoo.com/ws/fundamentals-timeseries/v1/finance/timeseries/SU.PA</x:v>
      </x:c>
      <x:c r="M99" s="43" t="str">
        <x:v>2026-09-11</x:v>
      </x:c>
      <x:c r="N99" s="43" t="str">
        <x:v>Yahoo Finance fundamentals-timeseries endpoint</x:v>
      </x:c>
      <x:c r="O99" s="43" t="str">
        <x:v>EUR</x:v>
      </x:c>
      <x:c r="P99" s="43" t="n">
        <x:v>19390000000</x:v>
      </x:c>
      <x:c r="Q99" s="43" t="str">
        <x:v>R3-SRC-SCHNEIDER_ELECTRIC-DEBT</x:v>
      </x:c>
      <x:c r="R99" s="43" t="str">
        <x:v>PASS</x:v>
      </x:c>
      <x:c r="S99" s="43" t="str">
        <x:v>source-native; same-currency ratio</x:v>
      </x:c>
      <x:c r="T99" s="43" t="str">
        <x:v>PASS</x:v>
      </x:c>
    </x:row>
    <x:row r="100">
      <x:c r="A100" s="43" t="str">
        <x:v>2026-09-13</x:v>
      </x:c>
      <x:c r="B100" s="43" t="str">
        <x:v>H6_PEER_MULTIPLE</x:v>
      </x:c>
      <x:c r="C100" s="43" t="str">
        <x:v>sources/valuation/SCHNEIDER_ELECTRIC_fundamentals.json</x:v>
      </x:c>
      <x:c r="D100" s="43" t="str">
        <x:v>160a3c57bddf6107a8b3d861337f3deb7e0b714d352a6d05a713b91c79ef6c66</x:v>
      </x:c>
      <x:c r="E100" s="43" t="str">
        <x:v>Pinned peer fundamental payload</x:v>
      </x:c>
      <x:c r="F100" s="43" t="str">
        <x:v>EUR</x:v>
      </x:c>
      <x:c r="G100" s="43" t="n">
        <x:v>4518000000</x:v>
      </x:c>
      <x:c r="H100" s="43" t="str">
        <x:v>PASS</x:v>
      </x:c>
      <x:c r="I100" s="43" t="str">
        <x:v>SCHNEIDER_ELECTRIC Cash</x:v>
      </x:c>
      <x:c r="J100" s="43" t="str">
        <x:v>VALUATION</x:v>
      </x:c>
      <x:c r="K100" s="43" t="str">
        <x:v>LATEST_AVAILABLE_TO_2026-06-30</x:v>
      </x:c>
      <x:c r="L100" s="43" t="str">
        <x:v>https://query2.finance.yahoo.com/ws/fundamentals-timeseries/v1/finance/timeseries/SU.PA</x:v>
      </x:c>
      <x:c r="M100" s="43" t="str">
        <x:v>2026-09-11</x:v>
      </x:c>
      <x:c r="N100" s="43" t="str">
        <x:v>Yahoo Finance fundamentals-timeseries endpoint</x:v>
      </x:c>
      <x:c r="O100" s="43" t="str">
        <x:v>EUR</x:v>
      </x:c>
      <x:c r="P100" s="43" t="n">
        <x:v>4518000000</x:v>
      </x:c>
      <x:c r="Q100" s="43" t="str">
        <x:v>R3-SRC-SCHNEIDER_ELECTRIC-CASH</x:v>
      </x:c>
      <x:c r="R100" s="43" t="str">
        <x:v>PASS</x:v>
      </x:c>
      <x:c r="S100" s="43" t="str">
        <x:v>source-native; same-currency ratio</x:v>
      </x:c>
      <x:c r="T100" s="43" t="str">
        <x:v>PASS</x:v>
      </x:c>
    </x:row>
    <x:row r="101">
      <x:c r="A101" s="43" t="str">
        <x:v>2026-09-13</x:v>
      </x:c>
      <x:c r="B101" s="43" t="str">
        <x:v>H6_PEER_MULTIPLE</x:v>
      </x:c>
      <x:c r="C101" s="43" t="str">
        <x:v>sources/valuation/SCHNEIDER_ELECTRIC_fundamentals.json</x:v>
      </x:c>
      <x:c r="D101" s="43" t="str">
        <x:v>160a3c57bddf6107a8b3d861337f3deb7e0b714d352a6d05a713b91c79ef6c66</x:v>
      </x:c>
      <x:c r="E101" s="43" t="str">
        <x:v>Pinned peer fundamental payload</x:v>
      </x:c>
      <x:c r="F101" s="43" t="str">
        <x:v>EUR</x:v>
      </x:c>
      <x:c r="G101" s="43" t="n">
        <x:v>273000000</x:v>
      </x:c>
      <x:c r="H101" s="43" t="str">
        <x:v>PASS</x:v>
      </x:c>
      <x:c r="I101" s="43" t="str">
        <x:v>SCHNEIDER_ELECTRIC NCI</x:v>
      </x:c>
      <x:c r="J101" s="43" t="str">
        <x:v>VALUATION</x:v>
      </x:c>
      <x:c r="K101" s="43" t="str">
        <x:v>LATEST_AVAILABLE_TO_2026-06-30</x:v>
      </x:c>
      <x:c r="L101" s="43" t="str">
        <x:v>https://query2.finance.yahoo.com/ws/fundamentals-timeseries/v1/finance/timeseries/SU.PA</x:v>
      </x:c>
      <x:c r="M101" s="43" t="str">
        <x:v>2026-09-11</x:v>
      </x:c>
      <x:c r="N101" s="43" t="str">
        <x:v>Yahoo Finance fundamentals-timeseries endpoint</x:v>
      </x:c>
      <x:c r="O101" s="43" t="str">
        <x:v>EUR</x:v>
      </x:c>
      <x:c r="P101" s="43" t="n">
        <x:v>273000000</x:v>
      </x:c>
      <x:c r="Q101" s="43" t="str">
        <x:v>R3-SRC-SCHNEIDER_ELECTRIC-NCI</x:v>
      </x:c>
      <x:c r="R101" s="43" t="str">
        <x:v>PASS</x:v>
      </x:c>
      <x:c r="S101" s="43" t="str">
        <x:v>source-native; same-currency ratio</x:v>
      </x:c>
      <x:c r="T101" s="43" t="str">
        <x:v>PASS</x:v>
      </x:c>
    </x:row>
    <x:row r="102">
      <x:c r="A102" s="43" t="str">
        <x:v>2026-09-13</x:v>
      </x:c>
      <x:c r="B102" s="43" t="str">
        <x:v>H6_PEER_MULTIPLE</x:v>
      </x:c>
      <x:c r="C102" s="43" t="str">
        <x:v>sources/valuation/SCHNEIDER_ELECTRIC_fundamentals.json</x:v>
      </x:c>
      <x:c r="D102" s="43" t="str">
        <x:v>160a3c57bddf6107a8b3d861337f3deb7e0b714d352a6d05a713b91c79ef6c66</x:v>
      </x:c>
      <x:c r="E102" s="43" t="str">
        <x:v>Pinned peer fundamental payload</x:v>
      </x:c>
      <x:c r="F102" s="43" t="str">
        <x:v>EUR</x:v>
      </x:c>
      <x:c r="G102" s="43" t="n">
        <x:v>42042000000</x:v>
      </x:c>
      <x:c r="H102" s="43" t="str">
        <x:v>PASS</x:v>
      </x:c>
      <x:c r="I102" s="43" t="str">
        <x:v>SCHNEIDER_ELECTRIC Revenue</x:v>
      </x:c>
      <x:c r="J102" s="43" t="str">
        <x:v>VALUATION</x:v>
      </x:c>
      <x:c r="K102" s="43" t="str">
        <x:v>LATEST_AVAILABLE_TO_2026-06-30</x:v>
      </x:c>
      <x:c r="L102" s="43" t="str">
        <x:v>https://query2.finance.yahoo.com/ws/fundamentals-timeseries/v1/finance/timeseries/SU.PA</x:v>
      </x:c>
      <x:c r="M102" s="43" t="str">
        <x:v>2026-09-11</x:v>
      </x:c>
      <x:c r="N102" s="43" t="str">
        <x:v>Yahoo Finance fundamentals-timeseries endpoint</x:v>
      </x:c>
      <x:c r="O102" s="43" t="str">
        <x:v>EUR</x:v>
      </x:c>
      <x:c r="P102" s="43" t="n">
        <x:v>42042000000</x:v>
      </x:c>
      <x:c r="Q102" s="43" t="str">
        <x:v>R3-SRC-SCHNEIDER_ELECTRIC-REVENUE</x:v>
      </x:c>
      <x:c r="R102" s="43" t="str">
        <x:v>PASS</x:v>
      </x:c>
      <x:c r="S102" s="43" t="str">
        <x:v>source-native; same-currency ratio</x:v>
      </x:c>
      <x:c r="T102" s="43" t="str">
        <x:v>PASS</x:v>
      </x:c>
    </x:row>
    <x:row r="103">
      <x:c r="A103" s="43" t="str">
        <x:v>2026-09-13</x:v>
      </x:c>
      <x:c r="B103" s="43" t="str">
        <x:v>H6_PEER_MULTIPLE</x:v>
      </x:c>
      <x:c r="C103" s="43" t="str">
        <x:v>sources/valuation/SCHNEIDER_ELECTRIC_fundamentals.json</x:v>
      </x:c>
      <x:c r="D103" s="43" t="str">
        <x:v>160a3c57bddf6107a8b3d861337f3deb7e0b714d352a6d05a713b91c79ef6c66</x:v>
      </x:c>
      <x:c r="E103" s="43" t="str">
        <x:v>Pinned peer fundamental payload</x:v>
      </x:c>
      <x:c r="F103" s="43" t="str">
        <x:v>EUR</x:v>
      </x:c>
      <x:c r="G103" s="43" t="n">
        <x:v>8788000000</x:v>
      </x:c>
      <x:c r="H103" s="43" t="str">
        <x:v>PASS</x:v>
      </x:c>
      <x:c r="I103" s="43" t="str">
        <x:v>SCHNEIDER_ELECTRIC EBITDA</x:v>
      </x:c>
      <x:c r="J103" s="43" t="str">
        <x:v>VALUATION</x:v>
      </x:c>
      <x:c r="K103" s="43" t="str">
        <x:v>LATEST_AVAILABLE_TO_2026-06-30</x:v>
      </x:c>
      <x:c r="L103" s="43" t="str">
        <x:v>https://query2.finance.yahoo.com/ws/fundamentals-timeseries/v1/finance/timeseries/SU.PA</x:v>
      </x:c>
      <x:c r="M103" s="43" t="str">
        <x:v>2026-09-11</x:v>
      </x:c>
      <x:c r="N103" s="43" t="str">
        <x:v>Yahoo Finance fundamentals-timeseries endpoint</x:v>
      </x:c>
      <x:c r="O103" s="43" t="str">
        <x:v>EUR</x:v>
      </x:c>
      <x:c r="P103" s="43" t="n">
        <x:v>8788000000</x:v>
      </x:c>
      <x:c r="Q103" s="43" t="str">
        <x:v>R3-SRC-SCHNEIDER_ELECTRIC-EBITDA</x:v>
      </x:c>
      <x:c r="R103" s="43" t="str">
        <x:v>PASS</x:v>
      </x:c>
      <x:c r="S103" s="43" t="str">
        <x:v>source-native; same-currency ratio</x:v>
      </x:c>
      <x:c r="T103" s="43" t="str">
        <x:v>PASS</x:v>
      </x:c>
    </x:row>
    <x:row r="104">
      <x:c r="A104" s="43" t="str">
        <x:v>2026-09-13</x:v>
      </x:c>
      <x:c r="B104" s="43" t="str">
        <x:v>H6_PEER_MULTIPLE</x:v>
      </x:c>
      <x:c r="C104" s="43" t="str">
        <x:v>sources/valuation/SCHNEIDER_ELECTRIC_fundamentals.json</x:v>
      </x:c>
      <x:c r="D104" s="43" t="str">
        <x:v>160a3c57bddf6107a8b3d861337f3deb7e0b714d352a6d05a713b91c79ef6c66</x:v>
      </x:c>
      <x:c r="E104" s="43" t="str">
        <x:v>Pinned peer fundamental payload</x:v>
      </x:c>
      <x:c r="F104" s="43" t="str">
        <x:v>EUR</x:v>
      </x:c>
      <x:c r="G104" s="43" t="n">
        <x:v>7098000000</x:v>
      </x:c>
      <x:c r="H104" s="43" t="str">
        <x:v>PASS</x:v>
      </x:c>
      <x:c r="I104" s="43" t="str">
        <x:v>SCHNEIDER_ELECTRIC EBIT</x:v>
      </x:c>
      <x:c r="J104" s="43" t="str">
        <x:v>VALUATION</x:v>
      </x:c>
      <x:c r="K104" s="43" t="str">
        <x:v>LATEST_AVAILABLE_TO_2026-06-30</x:v>
      </x:c>
      <x:c r="L104" s="43" t="str">
        <x:v>https://query2.finance.yahoo.com/ws/fundamentals-timeseries/v1/finance/timeseries/SU.PA</x:v>
      </x:c>
      <x:c r="M104" s="43" t="str">
        <x:v>2026-09-11</x:v>
      </x:c>
      <x:c r="N104" s="43" t="str">
        <x:v>Yahoo Finance fundamentals-timeseries endpoint</x:v>
      </x:c>
      <x:c r="O104" s="43" t="str">
        <x:v>EUR</x:v>
      </x:c>
      <x:c r="P104" s="43" t="n">
        <x:v>7098000000</x:v>
      </x:c>
      <x:c r="Q104" s="43" t="str">
        <x:v>R3-SRC-SCHNEIDER_ELECTRIC-EBIT</x:v>
      </x:c>
      <x:c r="R104" s="43" t="str">
        <x:v>PASS</x:v>
      </x:c>
      <x:c r="S104" s="43" t="str">
        <x:v>source-native; same-currency ratio</x:v>
      </x:c>
      <x:c r="T104" s="43" t="str">
        <x:v>PASS</x:v>
      </x:c>
    </x:row>
    <x:row r="105">
      <x:c r="A105" s="43" t="str">
        <x:v>2026-09-13</x:v>
      </x:c>
      <x:c r="B105" s="43" t="str">
        <x:v>H6_PEER_MULTIPLE</x:v>
      </x:c>
      <x:c r="C105" s="43" t="str">
        <x:v>sources/valuation/SCHNEIDER_ELECTRIC_fundamentals.json</x:v>
      </x:c>
      <x:c r="D105" s="43" t="str">
        <x:v>160a3c57bddf6107a8b3d861337f3deb7e0b714d352a6d05a713b91c79ef6c66</x:v>
      </x:c>
      <x:c r="E105" s="43" t="str">
        <x:v>Pinned peer fundamental payload</x:v>
      </x:c>
      <x:c r="F105" s="43" t="str">
        <x:v>EUR</x:v>
      </x:c>
      <x:c r="G105" s="43" t="n">
        <x:v>4738000000</x:v>
      </x:c>
      <x:c r="H105" s="43" t="str">
        <x:v>PASS</x:v>
      </x:c>
      <x:c r="I105" s="43" t="str">
        <x:v>SCHNEIDER_ELECTRIC Earnings</x:v>
      </x:c>
      <x:c r="J105" s="43" t="str">
        <x:v>VALUATION</x:v>
      </x:c>
      <x:c r="K105" s="43" t="str">
        <x:v>LATEST_AVAILABLE_TO_2026-06-30</x:v>
      </x:c>
      <x:c r="L105" s="43" t="str">
        <x:v>https://query2.finance.yahoo.com/ws/fundamentals-timeseries/v1/finance/timeseries/SU.PA</x:v>
      </x:c>
      <x:c r="M105" s="43" t="str">
        <x:v>2026-09-11</x:v>
      </x:c>
      <x:c r="N105" s="43" t="str">
        <x:v>Yahoo Finance fundamentals-timeseries endpoint</x:v>
      </x:c>
      <x:c r="O105" s="43" t="str">
        <x:v>EUR</x:v>
      </x:c>
      <x:c r="P105" s="43" t="n">
        <x:v>4738000000</x:v>
      </x:c>
      <x:c r="Q105" s="43" t="str">
        <x:v>R3-SRC-SCHNEIDER_ELECTRIC-EARNINGS</x:v>
      </x:c>
      <x:c r="R105" s="43" t="str">
        <x:v>PASS</x:v>
      </x:c>
      <x:c r="S105" s="43" t="str">
        <x:v>source-native; same-currency ratio</x:v>
      </x:c>
      <x:c r="T105" s="43" t="str">
        <x:v>PASS</x:v>
      </x:c>
    </x:row>
    <x:row r="106">
      <x:c r="A106" s="43" t="str">
        <x:v>2026-09-13</x:v>
      </x:c>
      <x:c r="B106" s="43" t="str">
        <x:v>H6_PEER_MULTIPLE</x:v>
      </x:c>
      <x:c r="C106" s="43" t="str">
        <x:v>sources/valuation/SCHNEIDER_ELECTRIC_fundamentals.json</x:v>
      </x:c>
      <x:c r="D106" s="43" t="str">
        <x:v>160a3c57bddf6107a8b3d861337f3deb7e0b714d352a6d05a713b91c79ef6c66</x:v>
      </x:c>
      <x:c r="E106" s="43" t="str">
        <x:v>Pinned peer fundamental payload</x:v>
      </x:c>
      <x:c r="F106" s="43" t="str">
        <x:v>EUR</x:v>
      </x:c>
      <x:c r="G106" s="43" t="n">
        <x:v>24463000000</x:v>
      </x:c>
      <x:c r="H106" s="43" t="str">
        <x:v>PASS</x:v>
      </x:c>
      <x:c r="I106" s="43" t="str">
        <x:v>SCHNEIDER_ELECTRIC Book_Equity</x:v>
      </x:c>
      <x:c r="J106" s="43" t="str">
        <x:v>VALUATION</x:v>
      </x:c>
      <x:c r="K106" s="43" t="str">
        <x:v>LATEST_AVAILABLE_TO_2026-06-30</x:v>
      </x:c>
      <x:c r="L106" s="43" t="str">
        <x:v>https://query2.finance.yahoo.com/ws/fundamentals-timeseries/v1/finance/timeseries/SU.PA</x:v>
      </x:c>
      <x:c r="M106" s="43" t="str">
        <x:v>2026-09-11</x:v>
      </x:c>
      <x:c r="N106" s="43" t="str">
        <x:v>Yahoo Finance fundamentals-timeseries endpoint</x:v>
      </x:c>
      <x:c r="O106" s="43" t="str">
        <x:v>EUR</x:v>
      </x:c>
      <x:c r="P106" s="43" t="n">
        <x:v>24463000000</x:v>
      </x:c>
      <x:c r="Q106" s="43" t="str">
        <x:v>R3-SRC-SCHNEIDER_ELECTRIC-BOOK_EQUITY</x:v>
      </x:c>
      <x:c r="R106" s="43" t="str">
        <x:v>PASS</x:v>
      </x:c>
      <x:c r="S106" s="43" t="str">
        <x:v>source-native; same-currency ratio</x:v>
      </x:c>
      <x:c r="T106" s="43" t="str">
        <x:v>PASS</x:v>
      </x:c>
    </x:row>
    <x:row r="107">
      <x:c r="A107" s="43" t="str">
        <x:v>2026-09-13</x:v>
      </x:c>
      <x:c r="B107" s="43" t="str">
        <x:v>H6_PEER_MARKET_DATA</x:v>
      </x:c>
      <x:c r="C107" s="43" t="str">
        <x:v>sources/valuation/SIEMENS_price.json</x:v>
      </x:c>
      <x:c r="D107" s="43" t="str">
        <x:v>873de9a310f375ba68a12781e22e763502c0c3753e327afbbc6243939a36b5b0</x:v>
      </x:c>
      <x:c r="E107" s="43" t="str">
        <x:v>Pinned peer price payload</x:v>
      </x:c>
      <x:c r="F107" s="43" t="str">
        <x:v>EUR_PER_SHARE</x:v>
      </x:c>
      <x:c r="G107" s="43" t="n">
        <x:v>264.6499939</x:v>
      </x:c>
      <x:c r="H107" s="43" t="str">
        <x:v>PASS</x:v>
      </x:c>
      <x:c r="I107" s="43" t="str">
        <x:v>SIEMENS share price</x:v>
      </x:c>
      <x:c r="J107" s="43" t="str">
        <x:v>VALUATION</x:v>
      </x:c>
      <x:c r="K107" s="43" t="str">
        <x:v>2026-09-11</x:v>
      </x:c>
      <x:c r="L107" s="43" t="str">
        <x:v>https://query1.finance.yahoo.com/v8/finance/chart/SIE.DE</x:v>
      </x:c>
      <x:c r="M107" s="43" t="str">
        <x:v>2026-09-11</x:v>
      </x:c>
      <x:c r="N107" s="43" t="str">
        <x:v>Yahoo Finance chart endpoint</x:v>
      </x:c>
      <x:c r="O107" s="43" t="str">
        <x:v>EUR_PER_SHARE</x:v>
      </x:c>
      <x:c r="P107" s="43" t="n">
        <x:v>264.6499939</x:v>
      </x:c>
      <x:c r="Q107" s="43" t="str">
        <x:v>R3-SRC-SIEMENS-PRICE</x:v>
      </x:c>
      <x:c r="R107" s="43" t="str">
        <x:v>PASS</x:v>
      </x:c>
      <x:c r="S107" s="43" t="str">
        <x:v>none</x:v>
      </x:c>
      <x:c r="T107" s="43" t="str">
        <x:v>PASS</x:v>
      </x:c>
    </x:row>
    <x:row r="108">
      <x:c r="A108" s="43" t="str">
        <x:v>2026-09-13</x:v>
      </x:c>
      <x:c r="B108" s="43" t="str">
        <x:v>H6_PEER_MULTIPLE</x:v>
      </x:c>
      <x:c r="C108" s="43" t="str">
        <x:v>sources/valuation/SIEMENS_fundamentals.json</x:v>
      </x:c>
      <x:c r="D108" s="43" t="str">
        <x:v>762f93009cbf683a73ca2389f9253f0f5af84c700dd754135a91b8d5795540a7</x:v>
      </x:c>
      <x:c r="E108" s="43" t="str">
        <x:v>Pinned peer fundamental payload</x:v>
      </x:c>
      <x:c r="F108" s="43" t="str">
        <x:v>EUR</x:v>
      </x:c>
      <x:c r="G108" s="43" t="n">
        <x:v>780264198</x:v>
      </x:c>
      <x:c r="H108" s="43" t="str">
        <x:v>PASS</x:v>
      </x:c>
      <x:c r="I108" s="43" t="str">
        <x:v>SIEMENS Shares</x:v>
      </x:c>
      <x:c r="J108" s="43" t="str">
        <x:v>VALUATION</x:v>
      </x:c>
      <x:c r="K108" s="43" t="str">
        <x:v>LATEST_AVAILABLE_TO_2026-06-30</x:v>
      </x:c>
      <x:c r="L108" s="43" t="str">
        <x:v>https://query2.finance.yahoo.com/ws/fundamentals-timeseries/v1/finance/timeseries/SIE.DE</x:v>
      </x:c>
      <x:c r="M108" s="43" t="str">
        <x:v>2026-09-11</x:v>
      </x:c>
      <x:c r="N108" s="43" t="str">
        <x:v>Yahoo Finance fundamentals-timeseries endpoint</x:v>
      </x:c>
      <x:c r="O108" s="43" t="str">
        <x:v>EUR</x:v>
      </x:c>
      <x:c r="P108" s="43" t="n">
        <x:v>780264198</x:v>
      </x:c>
      <x:c r="Q108" s="43" t="str">
        <x:v>R3-SRC-SIEMENS-SHARES</x:v>
      </x:c>
      <x:c r="R108" s="43" t="str">
        <x:v>PASS</x:v>
      </x:c>
      <x:c r="S108" s="43" t="str">
        <x:v>source-native; same-currency ratio</x:v>
      </x:c>
      <x:c r="T108" s="43" t="str">
        <x:v>PASS</x:v>
      </x:c>
    </x:row>
    <x:row r="109">
      <x:c r="A109" s="43" t="str">
        <x:v>2026-09-13</x:v>
      </x:c>
      <x:c r="B109" s="43" t="str">
        <x:v>H6_PEER_MULTIPLE</x:v>
      </x:c>
      <x:c r="C109" s="43" t="str">
        <x:v>sources/valuation/SIEMENS_fundamentals.json</x:v>
      </x:c>
      <x:c r="D109" s="43" t="str">
        <x:v>762f93009cbf683a73ca2389f9253f0f5af84c700dd754135a91b8d5795540a7</x:v>
      </x:c>
      <x:c r="E109" s="43" t="str">
        <x:v>Pinned peer fundamental payload</x:v>
      </x:c>
      <x:c r="F109" s="43" t="str">
        <x:v>EUR</x:v>
      </x:c>
      <x:c r="G109" s="43" t="n">
        <x:v>49924000000</x:v>
      </x:c>
      <x:c r="H109" s="43" t="str">
        <x:v>PASS</x:v>
      </x:c>
      <x:c r="I109" s="43" t="str">
        <x:v>SIEMENS Debt</x:v>
      </x:c>
      <x:c r="J109" s="43" t="str">
        <x:v>VALUATION</x:v>
      </x:c>
      <x:c r="K109" s="43" t="str">
        <x:v>LATEST_AVAILABLE_TO_2026-06-30</x:v>
      </x:c>
      <x:c r="L109" s="43" t="str">
        <x:v>https://query2.finance.yahoo.com/ws/fundamentals-timeseries/v1/finance/timeseries/SIE.DE</x:v>
      </x:c>
      <x:c r="M109" s="43" t="str">
        <x:v>2026-09-11</x:v>
      </x:c>
      <x:c r="N109" s="43" t="str">
        <x:v>Yahoo Finance fundamentals-timeseries endpoint</x:v>
      </x:c>
      <x:c r="O109" s="43" t="str">
        <x:v>EUR</x:v>
      </x:c>
      <x:c r="P109" s="43" t="n">
        <x:v>49924000000</x:v>
      </x:c>
      <x:c r="Q109" s="43" t="str">
        <x:v>R3-SRC-SIEMENS-DEBT</x:v>
      </x:c>
      <x:c r="R109" s="43" t="str">
        <x:v>PASS</x:v>
      </x:c>
      <x:c r="S109" s="43" t="str">
        <x:v>source-native; same-currency ratio</x:v>
      </x:c>
      <x:c r="T109" s="43" t="str">
        <x:v>PASS</x:v>
      </x:c>
    </x:row>
    <x:row r="110">
      <x:c r="A110" s="43" t="str">
        <x:v>2026-09-13</x:v>
      </x:c>
      <x:c r="B110" s="43" t="str">
        <x:v>H6_PEER_MULTIPLE</x:v>
      </x:c>
      <x:c r="C110" s="43" t="str">
        <x:v>sources/valuation/SIEMENS_fundamentals.json</x:v>
      </x:c>
      <x:c r="D110" s="43" t="str">
        <x:v>762f93009cbf683a73ca2389f9253f0f5af84c700dd754135a91b8d5795540a7</x:v>
      </x:c>
      <x:c r="E110" s="43" t="str">
        <x:v>Pinned peer fundamental payload</x:v>
      </x:c>
      <x:c r="F110" s="43" t="str">
        <x:v>EUR</x:v>
      </x:c>
      <x:c r="G110" s="43" t="n">
        <x:v>22813000000</x:v>
      </x:c>
      <x:c r="H110" s="43" t="str">
        <x:v>PASS</x:v>
      </x:c>
      <x:c r="I110" s="43" t="str">
        <x:v>SIEMENS Cash</x:v>
      </x:c>
      <x:c r="J110" s="43" t="str">
        <x:v>VALUATION</x:v>
      </x:c>
      <x:c r="K110" s="43" t="str">
        <x:v>LATEST_AVAILABLE_TO_2026-06-30</x:v>
      </x:c>
      <x:c r="L110" s="43" t="str">
        <x:v>https://query2.finance.yahoo.com/ws/fundamentals-timeseries/v1/finance/timeseries/SIE.DE</x:v>
      </x:c>
      <x:c r="M110" s="43" t="str">
        <x:v>2026-09-11</x:v>
      </x:c>
      <x:c r="N110" s="43" t="str">
        <x:v>Yahoo Finance fundamentals-timeseries endpoint</x:v>
      </x:c>
      <x:c r="O110" s="43" t="str">
        <x:v>EUR</x:v>
      </x:c>
      <x:c r="P110" s="43" t="n">
        <x:v>22813000000</x:v>
      </x:c>
      <x:c r="Q110" s="43" t="str">
        <x:v>R3-SRC-SIEMENS-CASH</x:v>
      </x:c>
      <x:c r="R110" s="43" t="str">
        <x:v>PASS</x:v>
      </x:c>
      <x:c r="S110" s="43" t="str">
        <x:v>source-native; same-currency ratio</x:v>
      </x:c>
      <x:c r="T110" s="43" t="str">
        <x:v>PASS</x:v>
      </x:c>
    </x:row>
    <x:row r="111">
      <x:c r="A111" s="43" t="str">
        <x:v>2026-09-13</x:v>
      </x:c>
      <x:c r="B111" s="43" t="str">
        <x:v>H6_PEER_MULTIPLE</x:v>
      </x:c>
      <x:c r="C111" s="43" t="str">
        <x:v>sources/valuation/SIEMENS_fundamentals.json</x:v>
      </x:c>
      <x:c r="D111" s="43" t="str">
        <x:v>762f93009cbf683a73ca2389f9253f0f5af84c700dd754135a91b8d5795540a7</x:v>
      </x:c>
      <x:c r="E111" s="43" t="str">
        <x:v>Pinned peer fundamental payload</x:v>
      </x:c>
      <x:c r="F111" s="43" t="str">
        <x:v>EUR</x:v>
      </x:c>
      <x:c r="G111" s="43" t="n">
        <x:v>6898000000</x:v>
      </x:c>
      <x:c r="H111" s="43" t="str">
        <x:v>PASS</x:v>
      </x:c>
      <x:c r="I111" s="43" t="str">
        <x:v>SIEMENS NCI</x:v>
      </x:c>
      <x:c r="J111" s="43" t="str">
        <x:v>VALUATION</x:v>
      </x:c>
      <x:c r="K111" s="43" t="str">
        <x:v>LATEST_AVAILABLE_TO_2026-06-30</x:v>
      </x:c>
      <x:c r="L111" s="43" t="str">
        <x:v>https://query2.finance.yahoo.com/ws/fundamentals-timeseries/v1/finance/timeseries/SIE.DE</x:v>
      </x:c>
      <x:c r="M111" s="43" t="str">
        <x:v>2026-09-11</x:v>
      </x:c>
      <x:c r="N111" s="43" t="str">
        <x:v>Yahoo Finance fundamentals-timeseries endpoint</x:v>
      </x:c>
      <x:c r="O111" s="43" t="str">
        <x:v>EUR</x:v>
      </x:c>
      <x:c r="P111" s="43" t="n">
        <x:v>6898000000</x:v>
      </x:c>
      <x:c r="Q111" s="43" t="str">
        <x:v>R3-SRC-SIEMENS-NCI</x:v>
      </x:c>
      <x:c r="R111" s="43" t="str">
        <x:v>PASS</x:v>
      </x:c>
      <x:c r="S111" s="43" t="str">
        <x:v>source-native; same-currency ratio</x:v>
      </x:c>
      <x:c r="T111" s="43" t="str">
        <x:v>PASS</x:v>
      </x:c>
    </x:row>
    <x:row r="112">
      <x:c r="A112" s="43" t="str">
        <x:v>2026-09-13</x:v>
      </x:c>
      <x:c r="B112" s="43" t="str">
        <x:v>H6_PEER_MULTIPLE</x:v>
      </x:c>
      <x:c r="C112" s="43" t="str">
        <x:v>sources/valuation/SIEMENS_fundamentals.json</x:v>
      </x:c>
      <x:c r="D112" s="43" t="str">
        <x:v>762f93009cbf683a73ca2389f9253f0f5af84c700dd754135a91b8d5795540a7</x:v>
      </x:c>
      <x:c r="E112" s="43" t="str">
        <x:v>Pinned peer fundamental payload</x:v>
      </x:c>
      <x:c r="F112" s="43" t="str">
        <x:v>EUR</x:v>
      </x:c>
      <x:c r="G112" s="43" t="n">
        <x:v>81114000000</x:v>
      </x:c>
      <x:c r="H112" s="43" t="str">
        <x:v>PASS</x:v>
      </x:c>
      <x:c r="I112" s="43" t="str">
        <x:v>SIEMENS Revenue</x:v>
      </x:c>
      <x:c r="J112" s="43" t="str">
        <x:v>VALUATION</x:v>
      </x:c>
      <x:c r="K112" s="43" t="str">
        <x:v>LATEST_AVAILABLE_TO_2026-06-30</x:v>
      </x:c>
      <x:c r="L112" s="43" t="str">
        <x:v>https://query2.finance.yahoo.com/ws/fundamentals-timeseries/v1/finance/timeseries/SIE.DE</x:v>
      </x:c>
      <x:c r="M112" s="43" t="str">
        <x:v>2026-09-11</x:v>
      </x:c>
      <x:c r="N112" s="43" t="str">
        <x:v>Yahoo Finance fundamentals-timeseries endpoint</x:v>
      </x:c>
      <x:c r="O112" s="43" t="str">
        <x:v>EUR</x:v>
      </x:c>
      <x:c r="P112" s="43" t="n">
        <x:v>81114000000</x:v>
      </x:c>
      <x:c r="Q112" s="43" t="str">
        <x:v>R3-SRC-SIEMENS-REVENUE</x:v>
      </x:c>
      <x:c r="R112" s="43" t="str">
        <x:v>PASS</x:v>
      </x:c>
      <x:c r="S112" s="43" t="str">
        <x:v>source-native; same-currency ratio</x:v>
      </x:c>
      <x:c r="T112" s="43" t="str">
        <x:v>PASS</x:v>
      </x:c>
    </x:row>
    <x:row r="113">
      <x:c r="A113" s="43" t="str">
        <x:v>2026-09-13</x:v>
      </x:c>
      <x:c r="B113" s="43" t="str">
        <x:v>H6_PEER_MULTIPLE</x:v>
      </x:c>
      <x:c r="C113" s="43" t="str">
        <x:v>sources/valuation/SIEMENS_fundamentals.json</x:v>
      </x:c>
      <x:c r="D113" s="43" t="str">
        <x:v>762f93009cbf683a73ca2389f9253f0f5af84c700dd754135a91b8d5795540a7</x:v>
      </x:c>
      <x:c r="E113" s="43" t="str">
        <x:v>Pinned peer fundamental payload</x:v>
      </x:c>
      <x:c r="F113" s="43" t="str">
        <x:v>EUR</x:v>
      </x:c>
      <x:c r="G113" s="43" t="n">
        <x:v>16775000000</x:v>
      </x:c>
      <x:c r="H113" s="43" t="str">
        <x:v>PASS</x:v>
      </x:c>
      <x:c r="I113" s="43" t="str">
        <x:v>SIEMENS EBITDA</x:v>
      </x:c>
      <x:c r="J113" s="43" t="str">
        <x:v>VALUATION</x:v>
      </x:c>
      <x:c r="K113" s="43" t="str">
        <x:v>LATEST_AVAILABLE_TO_2026-06-30</x:v>
      </x:c>
      <x:c r="L113" s="43" t="str">
        <x:v>https://query2.finance.yahoo.com/ws/fundamentals-timeseries/v1/finance/timeseries/SIE.DE</x:v>
      </x:c>
      <x:c r="M113" s="43" t="str">
        <x:v>2026-09-11</x:v>
      </x:c>
      <x:c r="N113" s="43" t="str">
        <x:v>Yahoo Finance fundamentals-timeseries endpoint</x:v>
      </x:c>
      <x:c r="O113" s="43" t="str">
        <x:v>EUR</x:v>
      </x:c>
      <x:c r="P113" s="43" t="n">
        <x:v>16775000000</x:v>
      </x:c>
      <x:c r="Q113" s="43" t="str">
        <x:v>R3-SRC-SIEMENS-EBITDA</x:v>
      </x:c>
      <x:c r="R113" s="43" t="str">
        <x:v>PASS</x:v>
      </x:c>
      <x:c r="S113" s="43" t="str">
        <x:v>source-native; same-currency ratio</x:v>
      </x:c>
      <x:c r="T113" s="43" t="str">
        <x:v>PASS</x:v>
      </x:c>
    </x:row>
    <x:row r="114">
      <x:c r="A114" s="43" t="str">
        <x:v>2026-09-13</x:v>
      </x:c>
      <x:c r="B114" s="43" t="str">
        <x:v>H6_PEER_MULTIPLE</x:v>
      </x:c>
      <x:c r="C114" s="43" t="str">
        <x:v>sources/valuation/SIEMENS_fundamentals.json</x:v>
      </x:c>
      <x:c r="D114" s="43" t="str">
        <x:v>762f93009cbf683a73ca2389f9253f0f5af84c700dd754135a91b8d5795540a7</x:v>
      </x:c>
      <x:c r="E114" s="43" t="str">
        <x:v>Pinned peer fundamental payload</x:v>
      </x:c>
      <x:c r="F114" s="43" t="str">
        <x:v>EUR</x:v>
      </x:c>
      <x:c r="G114" s="43" t="n">
        <x:v>13274000000</x:v>
      </x:c>
      <x:c r="H114" s="43" t="str">
        <x:v>PASS</x:v>
      </x:c>
      <x:c r="I114" s="43" t="str">
        <x:v>SIEMENS EBIT</x:v>
      </x:c>
      <x:c r="J114" s="43" t="str">
        <x:v>VALUATION</x:v>
      </x:c>
      <x:c r="K114" s="43" t="str">
        <x:v>LATEST_AVAILABLE_TO_2026-06-30</x:v>
      </x:c>
      <x:c r="L114" s="43" t="str">
        <x:v>https://query2.finance.yahoo.com/ws/fundamentals-timeseries/v1/finance/timeseries/SIE.DE</x:v>
      </x:c>
      <x:c r="M114" s="43" t="str">
        <x:v>2026-09-11</x:v>
      </x:c>
      <x:c r="N114" s="43" t="str">
        <x:v>Yahoo Finance fundamentals-timeseries endpoint</x:v>
      </x:c>
      <x:c r="O114" s="43" t="str">
        <x:v>EUR</x:v>
      </x:c>
      <x:c r="P114" s="43" t="n">
        <x:v>13274000000</x:v>
      </x:c>
      <x:c r="Q114" s="43" t="str">
        <x:v>R3-SRC-SIEMENS-EBIT</x:v>
      </x:c>
      <x:c r="R114" s="43" t="str">
        <x:v>PASS</x:v>
      </x:c>
      <x:c r="S114" s="43" t="str">
        <x:v>source-native; same-currency ratio</x:v>
      </x:c>
      <x:c r="T114" s="43" t="str">
        <x:v>PASS</x:v>
      </x:c>
    </x:row>
    <x:row r="115">
      <x:c r="A115" s="43" t="str">
        <x:v>2026-09-13</x:v>
      </x:c>
      <x:c r="B115" s="43" t="str">
        <x:v>H6_PEER_MULTIPLE</x:v>
      </x:c>
      <x:c r="C115" s="43" t="str">
        <x:v>sources/valuation/SIEMENS_fundamentals.json</x:v>
      </x:c>
      <x:c r="D115" s="43" t="str">
        <x:v>762f93009cbf683a73ca2389f9253f0f5af84c700dd754135a91b8d5795540a7</x:v>
      </x:c>
      <x:c r="E115" s="43" t="str">
        <x:v>Pinned peer fundamental payload</x:v>
      </x:c>
      <x:c r="F115" s="43" t="str">
        <x:v>EUR</x:v>
      </x:c>
      <x:c r="G115" s="43" t="n">
        <x:v>7946000000</x:v>
      </x:c>
      <x:c r="H115" s="43" t="str">
        <x:v>PASS</x:v>
      </x:c>
      <x:c r="I115" s="43" t="str">
        <x:v>SIEMENS Earnings</x:v>
      </x:c>
      <x:c r="J115" s="43" t="str">
        <x:v>VALUATION</x:v>
      </x:c>
      <x:c r="K115" s="43" t="str">
        <x:v>LATEST_AVAILABLE_TO_2026-06-30</x:v>
      </x:c>
      <x:c r="L115" s="43" t="str">
        <x:v>https://query2.finance.yahoo.com/ws/fundamentals-timeseries/v1/finance/timeseries/SIE.DE</x:v>
      </x:c>
      <x:c r="M115" s="43" t="str">
        <x:v>2026-09-11</x:v>
      </x:c>
      <x:c r="N115" s="43" t="str">
        <x:v>Yahoo Finance fundamentals-timeseries endpoint</x:v>
      </x:c>
      <x:c r="O115" s="43" t="str">
        <x:v>EUR</x:v>
      </x:c>
      <x:c r="P115" s="43" t="n">
        <x:v>7946000000</x:v>
      </x:c>
      <x:c r="Q115" s="43" t="str">
        <x:v>R3-SRC-SIEMENS-EARNINGS</x:v>
      </x:c>
      <x:c r="R115" s="43" t="str">
        <x:v>PASS</x:v>
      </x:c>
      <x:c r="S115" s="43" t="str">
        <x:v>source-native; same-currency ratio</x:v>
      </x:c>
      <x:c r="T115" s="43" t="str">
        <x:v>PASS</x:v>
      </x:c>
    </x:row>
    <x:row r="116">
      <x:c r="A116" s="43" t="str">
        <x:v>2026-09-13</x:v>
      </x:c>
      <x:c r="B116" s="43" t="str">
        <x:v>H6_PEER_MULTIPLE</x:v>
      </x:c>
      <x:c r="C116" s="43" t="str">
        <x:v>sources/valuation/SIEMENS_fundamentals.json</x:v>
      </x:c>
      <x:c r="D116" s="43" t="str">
        <x:v>762f93009cbf683a73ca2389f9253f0f5af84c700dd754135a91b8d5795540a7</x:v>
      </x:c>
      <x:c r="E116" s="43" t="str">
        <x:v>Pinned peer fundamental payload</x:v>
      </x:c>
      <x:c r="F116" s="43" t="str">
        <x:v>EUR</x:v>
      </x:c>
      <x:c r="G116" s="43" t="n">
        <x:v>68260000000</x:v>
      </x:c>
      <x:c r="H116" s="43" t="str">
        <x:v>PASS</x:v>
      </x:c>
      <x:c r="I116" s="43" t="str">
        <x:v>SIEMENS Book_Equity</x:v>
      </x:c>
      <x:c r="J116" s="43" t="str">
        <x:v>VALUATION</x:v>
      </x:c>
      <x:c r="K116" s="43" t="str">
        <x:v>LATEST_AVAILABLE_TO_2026-06-30</x:v>
      </x:c>
      <x:c r="L116" s="43" t="str">
        <x:v>https://query2.finance.yahoo.com/ws/fundamentals-timeseries/v1/finance/timeseries/SIE.DE</x:v>
      </x:c>
      <x:c r="M116" s="43" t="str">
        <x:v>2026-09-11</x:v>
      </x:c>
      <x:c r="N116" s="43" t="str">
        <x:v>Yahoo Finance fundamentals-timeseries endpoint</x:v>
      </x:c>
      <x:c r="O116" s="43" t="str">
        <x:v>EUR</x:v>
      </x:c>
      <x:c r="P116" s="43" t="n">
        <x:v>68260000000</x:v>
      </x:c>
      <x:c r="Q116" s="43" t="str">
        <x:v>R3-SRC-SIEMENS-BOOK_EQUITY</x:v>
      </x:c>
      <x:c r="R116" s="43" t="str">
        <x:v>PASS</x:v>
      </x:c>
      <x:c r="S116" s="43" t="str">
        <x:v>source-native; same-currency ratio</x:v>
      </x:c>
      <x:c r="T116" s="43" t="str">
        <x:v>PASS</x:v>
      </x:c>
    </x:row>
    <x:row r="117">
      <x:c r="A117" s="43" t="str">
        <x:v>2026-09-13</x:v>
      </x:c>
      <x:c r="B117" s="43" t="str">
        <x:v>H6_PEER_MARKET_DATA</x:v>
      </x:c>
      <x:c r="C117" s="43" t="str">
        <x:v>sources/valuation/ABB_price.json</x:v>
      </x:c>
      <x:c r="D117" s="43" t="str">
        <x:v>db3bbcef80155b16a74f8f58e99d8af0319ceeae6413abe372c71846fb6ca4f8</x:v>
      </x:c>
      <x:c r="E117" s="43" t="str">
        <x:v>Pinned peer price payload</x:v>
      </x:c>
      <x:c r="F117" s="43" t="str">
        <x:v>USD_PER_SHARE</x:v>
      </x:c>
      <x:c r="G117" s="43" t="n">
        <x:v>78.66000366</x:v>
      </x:c>
      <x:c r="H117" s="43" t="str">
        <x:v>PASS</x:v>
      </x:c>
      <x:c r="I117" s="43" t="str">
        <x:v>ABB share price</x:v>
      </x:c>
      <x:c r="J117" s="43" t="str">
        <x:v>VALUATION</x:v>
      </x:c>
      <x:c r="K117" s="43" t="str">
        <x:v>2026-09-11</x:v>
      </x:c>
      <x:c r="L117" s="43" t="str">
        <x:v>https://query1.finance.yahoo.com/v8/finance/chart/ABBN.SW</x:v>
      </x:c>
      <x:c r="M117" s="43" t="str">
        <x:v>2026-09-11</x:v>
      </x:c>
      <x:c r="N117" s="43" t="str">
        <x:v>Yahoo Finance chart endpoint</x:v>
      </x:c>
      <x:c r="O117" s="43" t="str">
        <x:v>USD_PER_SHARE</x:v>
      </x:c>
      <x:c r="P117" s="43" t="n">
        <x:v>78.66000366</x:v>
      </x:c>
      <x:c r="Q117" s="43" t="str">
        <x:v>R3-SRC-ABB-PRICE</x:v>
      </x:c>
      <x:c r="R117" s="43" t="str">
        <x:v>PASS</x:v>
      </x:c>
      <x:c r="S117" s="43" t="str">
        <x:v>none</x:v>
      </x:c>
      <x:c r="T117" s="43" t="str">
        <x:v>PASS</x:v>
      </x:c>
    </x:row>
    <x:row r="118">
      <x:c r="A118" s="43" t="str">
        <x:v>2026-09-13</x:v>
      </x:c>
      <x:c r="B118" s="43" t="str">
        <x:v>H6_PEER_MULTIPLE</x:v>
      </x:c>
      <x:c r="C118" s="43" t="str">
        <x:v>sources/valuation/ABB_fundamentals.json</x:v>
      </x:c>
      <x:c r="D118" s="43" t="str">
        <x:v>79754e00086deca83b94d4199728b7a10f6366f587ba38e86e4ca6abcf77f116</x:v>
      </x:c>
      <x:c r="E118" s="43" t="str">
        <x:v>Pinned peer fundamental payload</x:v>
      </x:c>
      <x:c r="F118" s="43" t="str">
        <x:v>USD</x:v>
      </x:c>
      <x:c r="G118" s="43" t="n">
        <x:v>1815147741</x:v>
      </x:c>
      <x:c r="H118" s="43" t="str">
        <x:v>PASS</x:v>
      </x:c>
      <x:c r="I118" s="43" t="str">
        <x:v>ABB Shares</x:v>
      </x:c>
      <x:c r="J118" s="43" t="str">
        <x:v>VALUATION</x:v>
      </x:c>
      <x:c r="K118" s="43" t="str">
        <x:v>LATEST_AVAILABLE_TO_2026-06-30</x:v>
      </x:c>
      <x:c r="L118" s="43" t="str">
        <x:v>https://query2.finance.yahoo.com/ws/fundamentals-timeseries/v1/finance/timeseries/ABBN.SW</x:v>
      </x:c>
      <x:c r="M118" s="43" t="str">
        <x:v>2026-09-11</x:v>
      </x:c>
      <x:c r="N118" s="43" t="str">
        <x:v>Yahoo Finance fundamentals-timeseries endpoint</x:v>
      </x:c>
      <x:c r="O118" s="43" t="str">
        <x:v>USD</x:v>
      </x:c>
      <x:c r="P118" s="43" t="n">
        <x:v>1815147741</x:v>
      </x:c>
      <x:c r="Q118" s="43" t="str">
        <x:v>R3-SRC-ABB-SHARES</x:v>
      </x:c>
      <x:c r="R118" s="43" t="str">
        <x:v>PASS</x:v>
      </x:c>
      <x:c r="S118" s="43" t="str">
        <x:v>source-native; same-currency ratio</x:v>
      </x:c>
      <x:c r="T118" s="43" t="str">
        <x:v>PASS</x:v>
      </x:c>
    </x:row>
    <x:row r="119">
      <x:c r="A119" s="43" t="str">
        <x:v>2026-09-13</x:v>
      </x:c>
      <x:c r="B119" s="43" t="str">
        <x:v>H6_PEER_MULTIPLE</x:v>
      </x:c>
      <x:c r="C119" s="43" t="str">
        <x:v>sources/valuation/ABB_fundamentals.json</x:v>
      </x:c>
      <x:c r="D119" s="43" t="str">
        <x:v>79754e00086deca83b94d4199728b7a10f6366f587ba38e86e4ca6abcf77f116</x:v>
      </x:c>
      <x:c r="E119" s="43" t="str">
        <x:v>Pinned peer fundamental payload</x:v>
      </x:c>
      <x:c r="F119" s="43" t="str">
        <x:v>USD</x:v>
      </x:c>
      <x:c r="G119" s="43" t="n">
        <x:v>8982000000</x:v>
      </x:c>
      <x:c r="H119" s="43" t="str">
        <x:v>PASS</x:v>
      </x:c>
      <x:c r="I119" s="43" t="str">
        <x:v>ABB Debt</x:v>
      </x:c>
      <x:c r="J119" s="43" t="str">
        <x:v>VALUATION</x:v>
      </x:c>
      <x:c r="K119" s="43" t="str">
        <x:v>LATEST_AVAILABLE_TO_2026-06-30</x:v>
      </x:c>
      <x:c r="L119" s="43" t="str">
        <x:v>https://query2.finance.yahoo.com/ws/fundamentals-timeseries/v1/finance/timeseries/ABBN.SW</x:v>
      </x:c>
      <x:c r="M119" s="43" t="str">
        <x:v>2026-09-11</x:v>
      </x:c>
      <x:c r="N119" s="43" t="str">
        <x:v>Yahoo Finance fundamentals-timeseries endpoint</x:v>
      </x:c>
      <x:c r="O119" s="43" t="str">
        <x:v>USD</x:v>
      </x:c>
      <x:c r="P119" s="43" t="n">
        <x:v>8982000000</x:v>
      </x:c>
      <x:c r="Q119" s="43" t="str">
        <x:v>R3-SRC-ABB-DEBT</x:v>
      </x:c>
      <x:c r="R119" s="43" t="str">
        <x:v>PASS</x:v>
      </x:c>
      <x:c r="S119" s="43" t="str">
        <x:v>source-native; same-currency ratio</x:v>
      </x:c>
      <x:c r="T119" s="43" t="str">
        <x:v>PASS</x:v>
      </x:c>
    </x:row>
    <x:row r="120">
      <x:c r="A120" s="43" t="str">
        <x:v>2026-09-13</x:v>
      </x:c>
      <x:c r="B120" s="43" t="str">
        <x:v>H6_PEER_MULTIPLE</x:v>
      </x:c>
      <x:c r="C120" s="43" t="str">
        <x:v>sources/valuation/ABB_fundamentals.json</x:v>
      </x:c>
      <x:c r="D120" s="43" t="str">
        <x:v>79754e00086deca83b94d4199728b7a10f6366f587ba38e86e4ca6abcf77f116</x:v>
      </x:c>
      <x:c r="E120" s="43" t="str">
        <x:v>Pinned peer fundamental payload</x:v>
      </x:c>
      <x:c r="F120" s="43" t="str">
        <x:v>USD</x:v>
      </x:c>
      <x:c r="G120" s="43" t="n">
        <x:v>5857000000</x:v>
      </x:c>
      <x:c r="H120" s="43" t="str">
        <x:v>PASS</x:v>
      </x:c>
      <x:c r="I120" s="43" t="str">
        <x:v>ABB Cash</x:v>
      </x:c>
      <x:c r="J120" s="43" t="str">
        <x:v>VALUATION</x:v>
      </x:c>
      <x:c r="K120" s="43" t="str">
        <x:v>LATEST_AVAILABLE_TO_2026-06-30</x:v>
      </x:c>
      <x:c r="L120" s="43" t="str">
        <x:v>https://query2.finance.yahoo.com/ws/fundamentals-timeseries/v1/finance/timeseries/ABBN.SW</x:v>
      </x:c>
      <x:c r="M120" s="43" t="str">
        <x:v>2026-09-11</x:v>
      </x:c>
      <x:c r="N120" s="43" t="str">
        <x:v>Yahoo Finance fundamentals-timeseries endpoint</x:v>
      </x:c>
      <x:c r="O120" s="43" t="str">
        <x:v>USD</x:v>
      </x:c>
      <x:c r="P120" s="43" t="n">
        <x:v>5857000000</x:v>
      </x:c>
      <x:c r="Q120" s="43" t="str">
        <x:v>R3-SRC-ABB-CASH</x:v>
      </x:c>
      <x:c r="R120" s="43" t="str">
        <x:v>PASS</x:v>
      </x:c>
      <x:c r="S120" s="43" t="str">
        <x:v>source-native; same-currency ratio</x:v>
      </x:c>
      <x:c r="T120" s="43" t="str">
        <x:v>PASS</x:v>
      </x:c>
    </x:row>
    <x:row r="121">
      <x:c r="A121" s="43" t="str">
        <x:v>2026-09-13</x:v>
      </x:c>
      <x:c r="B121" s="43" t="str">
        <x:v>H6_PEER_MULTIPLE</x:v>
      </x:c>
      <x:c r="C121" s="43" t="str">
        <x:v>sources/valuation/ABB_fundamentals.json</x:v>
      </x:c>
      <x:c r="D121" s="43" t="str">
        <x:v>79754e00086deca83b94d4199728b7a10f6366f587ba38e86e4ca6abcf77f116</x:v>
      </x:c>
      <x:c r="E121" s="43" t="str">
        <x:v>Pinned peer fundamental payload</x:v>
      </x:c>
      <x:c r="F121" s="43" t="str">
        <x:v>USD</x:v>
      </x:c>
      <x:c r="G121" s="43" t="n">
        <x:v>506000000</x:v>
      </x:c>
      <x:c r="H121" s="43" t="str">
        <x:v>PASS</x:v>
      </x:c>
      <x:c r="I121" s="43" t="str">
        <x:v>ABB NCI</x:v>
      </x:c>
      <x:c r="J121" s="43" t="str">
        <x:v>VALUATION</x:v>
      </x:c>
      <x:c r="K121" s="43" t="str">
        <x:v>LATEST_AVAILABLE_TO_2026-06-30</x:v>
      </x:c>
      <x:c r="L121" s="43" t="str">
        <x:v>https://query2.finance.yahoo.com/ws/fundamentals-timeseries/v1/finance/timeseries/ABBN.SW</x:v>
      </x:c>
      <x:c r="M121" s="43" t="str">
        <x:v>2026-09-11</x:v>
      </x:c>
      <x:c r="N121" s="43" t="str">
        <x:v>Yahoo Finance fundamentals-timeseries endpoint</x:v>
      </x:c>
      <x:c r="O121" s="43" t="str">
        <x:v>USD</x:v>
      </x:c>
      <x:c r="P121" s="43" t="n">
        <x:v>506000000</x:v>
      </x:c>
      <x:c r="Q121" s="43" t="str">
        <x:v>R3-SRC-ABB-NCI</x:v>
      </x:c>
      <x:c r="R121" s="43" t="str">
        <x:v>PASS</x:v>
      </x:c>
      <x:c r="S121" s="43" t="str">
        <x:v>source-native; same-currency ratio</x:v>
      </x:c>
      <x:c r="T121" s="43" t="str">
        <x:v>PASS</x:v>
      </x:c>
    </x:row>
    <x:row r="122">
      <x:c r="A122" s="43" t="str">
        <x:v>2026-09-13</x:v>
      </x:c>
      <x:c r="B122" s="43" t="str">
        <x:v>H6_PEER_MULTIPLE</x:v>
      </x:c>
      <x:c r="C122" s="43" t="str">
        <x:v>sources/valuation/ABB_fundamentals.json</x:v>
      </x:c>
      <x:c r="D122" s="43" t="str">
        <x:v>79754e00086deca83b94d4199728b7a10f6366f587ba38e86e4ca6abcf77f116</x:v>
      </x:c>
      <x:c r="E122" s="43" t="str">
        <x:v>Pinned peer fundamental payload</x:v>
      </x:c>
      <x:c r="F122" s="43" t="str">
        <x:v>USD</x:v>
      </x:c>
      <x:c r="G122" s="43" t="n">
        <x:v>35752000000</x:v>
      </x:c>
      <x:c r="H122" s="43" t="str">
        <x:v>PASS</x:v>
      </x:c>
      <x:c r="I122" s="43" t="str">
        <x:v>ABB Revenue</x:v>
      </x:c>
      <x:c r="J122" s="43" t="str">
        <x:v>VALUATION</x:v>
      </x:c>
      <x:c r="K122" s="43" t="str">
        <x:v>LATEST_AVAILABLE_TO_2026-06-30</x:v>
      </x:c>
      <x:c r="L122" s="43" t="str">
        <x:v>https://query2.finance.yahoo.com/ws/fundamentals-timeseries/v1/finance/timeseries/ABBN.SW</x:v>
      </x:c>
      <x:c r="M122" s="43" t="str">
        <x:v>2026-09-11</x:v>
      </x:c>
      <x:c r="N122" s="43" t="str">
        <x:v>Yahoo Finance fundamentals-timeseries endpoint</x:v>
      </x:c>
      <x:c r="O122" s="43" t="str">
        <x:v>USD</x:v>
      </x:c>
      <x:c r="P122" s="43" t="n">
        <x:v>35752000000</x:v>
      </x:c>
      <x:c r="Q122" s="43" t="str">
        <x:v>R3-SRC-ABB-REVENUE</x:v>
      </x:c>
      <x:c r="R122" s="43" t="str">
        <x:v>PASS</x:v>
      </x:c>
      <x:c r="S122" s="43" t="str">
        <x:v>source-native; same-currency ratio</x:v>
      </x:c>
      <x:c r="T122" s="43" t="str">
        <x:v>PASS</x:v>
      </x:c>
    </x:row>
    <x:row r="123">
      <x:c r="A123" s="43" t="str">
        <x:v>2026-09-13</x:v>
      </x:c>
      <x:c r="B123" s="43" t="str">
        <x:v>H6_PEER_MULTIPLE</x:v>
      </x:c>
      <x:c r="C123" s="43" t="str">
        <x:v>sources/valuation/ABB_fundamentals.json</x:v>
      </x:c>
      <x:c r="D123" s="43" t="str">
        <x:v>79754e00086deca83b94d4199728b7a10f6366f587ba38e86e4ca6abcf77f116</x:v>
      </x:c>
      <x:c r="E123" s="43" t="str">
        <x:v>Pinned peer fundamental payload</x:v>
      </x:c>
      <x:c r="F123" s="43" t="str">
        <x:v>USD</x:v>
      </x:c>
      <x:c r="G123" s="43" t="n">
        <x:v>7585000000</x:v>
      </x:c>
      <x:c r="H123" s="43" t="str">
        <x:v>PASS</x:v>
      </x:c>
      <x:c r="I123" s="43" t="str">
        <x:v>ABB EBITDA</x:v>
      </x:c>
      <x:c r="J123" s="43" t="str">
        <x:v>VALUATION</x:v>
      </x:c>
      <x:c r="K123" s="43" t="str">
        <x:v>LATEST_AVAILABLE_TO_2026-06-30</x:v>
      </x:c>
      <x:c r="L123" s="43" t="str">
        <x:v>https://query2.finance.yahoo.com/ws/fundamentals-timeseries/v1/finance/timeseries/ABBN.SW</x:v>
      </x:c>
      <x:c r="M123" s="43" t="str">
        <x:v>2026-09-11</x:v>
      </x:c>
      <x:c r="N123" s="43" t="str">
        <x:v>Yahoo Finance fundamentals-timeseries endpoint</x:v>
      </x:c>
      <x:c r="O123" s="43" t="str">
        <x:v>USD</x:v>
      </x:c>
      <x:c r="P123" s="43" t="n">
        <x:v>7585000000</x:v>
      </x:c>
      <x:c r="Q123" s="43" t="str">
        <x:v>R3-SRC-ABB-EBITDA</x:v>
      </x:c>
      <x:c r="R123" s="43" t="str">
        <x:v>PASS</x:v>
      </x:c>
      <x:c r="S123" s="43" t="str">
        <x:v>source-native; same-currency ratio</x:v>
      </x:c>
      <x:c r="T123" s="43" t="str">
        <x:v>PASS</x:v>
      </x:c>
    </x:row>
    <x:row r="124">
      <x:c r="A124" s="43" t="str">
        <x:v>2026-09-13</x:v>
      </x:c>
      <x:c r="B124" s="43" t="str">
        <x:v>H6_PEER_MULTIPLE</x:v>
      </x:c>
      <x:c r="C124" s="43" t="str">
        <x:v>sources/valuation/ABB_fundamentals.json</x:v>
      </x:c>
      <x:c r="D124" s="43" t="str">
        <x:v>79754e00086deca83b94d4199728b7a10f6366f587ba38e86e4ca6abcf77f116</x:v>
      </x:c>
      <x:c r="E124" s="43" t="str">
        <x:v>Pinned peer fundamental payload</x:v>
      </x:c>
      <x:c r="F124" s="43" t="str">
        <x:v>USD</x:v>
      </x:c>
      <x:c r="G124" s="43" t="n">
        <x:v>6730000000</x:v>
      </x:c>
      <x:c r="H124" s="43" t="str">
        <x:v>PASS</x:v>
      </x:c>
      <x:c r="I124" s="43" t="str">
        <x:v>ABB EBIT</x:v>
      </x:c>
      <x:c r="J124" s="43" t="str">
        <x:v>VALUATION</x:v>
      </x:c>
      <x:c r="K124" s="43" t="str">
        <x:v>LATEST_AVAILABLE_TO_2026-06-30</x:v>
      </x:c>
      <x:c r="L124" s="43" t="str">
        <x:v>https://query2.finance.yahoo.com/ws/fundamentals-timeseries/v1/finance/timeseries/ABBN.SW</x:v>
      </x:c>
      <x:c r="M124" s="43" t="str">
        <x:v>2026-09-11</x:v>
      </x:c>
      <x:c r="N124" s="43" t="str">
        <x:v>Yahoo Finance fundamentals-timeseries endpoint</x:v>
      </x:c>
      <x:c r="O124" s="43" t="str">
        <x:v>USD</x:v>
      </x:c>
      <x:c r="P124" s="43" t="n">
        <x:v>6730000000</x:v>
      </x:c>
      <x:c r="Q124" s="43" t="str">
        <x:v>R3-SRC-ABB-EBIT</x:v>
      </x:c>
      <x:c r="R124" s="43" t="str">
        <x:v>PASS</x:v>
      </x:c>
      <x:c r="S124" s="43" t="str">
        <x:v>source-native; same-currency ratio</x:v>
      </x:c>
      <x:c r="T124" s="43" t="str">
        <x:v>PASS</x:v>
      </x:c>
    </x:row>
    <x:row r="125">
      <x:c r="A125" s="43" t="str">
        <x:v>2026-09-13</x:v>
      </x:c>
      <x:c r="B125" s="43" t="str">
        <x:v>H6_PEER_MULTIPLE</x:v>
      </x:c>
      <x:c r="C125" s="43" t="str">
        <x:v>sources/valuation/ABB_fundamentals.json</x:v>
      </x:c>
      <x:c r="D125" s="43" t="str">
        <x:v>79754e00086deca83b94d4199728b7a10f6366f587ba38e86e4ca6abcf77f116</x:v>
      </x:c>
      <x:c r="E125" s="43" t="str">
        <x:v>Pinned peer fundamental payload</x:v>
      </x:c>
      <x:c r="F125" s="43" t="str">
        <x:v>USD</x:v>
      </x:c>
      <x:c r="G125" s="43" t="n">
        <x:v>5036000000</x:v>
      </x:c>
      <x:c r="H125" s="43" t="str">
        <x:v>PASS</x:v>
      </x:c>
      <x:c r="I125" s="43" t="str">
        <x:v>ABB Earnings</x:v>
      </x:c>
      <x:c r="J125" s="43" t="str">
        <x:v>VALUATION</x:v>
      </x:c>
      <x:c r="K125" s="43" t="str">
        <x:v>LATEST_AVAILABLE_TO_2026-06-30</x:v>
      </x:c>
      <x:c r="L125" s="43" t="str">
        <x:v>https://query2.finance.yahoo.com/ws/fundamentals-timeseries/v1/finance/timeseries/ABBN.SW</x:v>
      </x:c>
      <x:c r="M125" s="43" t="str">
        <x:v>2026-09-11</x:v>
      </x:c>
      <x:c r="N125" s="43" t="str">
        <x:v>Yahoo Finance fundamentals-timeseries endpoint</x:v>
      </x:c>
      <x:c r="O125" s="43" t="str">
        <x:v>USD</x:v>
      </x:c>
      <x:c r="P125" s="43" t="n">
        <x:v>5036000000</x:v>
      </x:c>
      <x:c r="Q125" s="43" t="str">
        <x:v>R3-SRC-ABB-EARNINGS</x:v>
      </x:c>
      <x:c r="R125" s="43" t="str">
        <x:v>PASS</x:v>
      </x:c>
      <x:c r="S125" s="43" t="str">
        <x:v>source-native; same-currency ratio</x:v>
      </x:c>
      <x:c r="T125" s="43" t="str">
        <x:v>PASS</x:v>
      </x:c>
    </x:row>
    <x:row r="126">
      <x:c r="A126" s="43" t="str">
        <x:v>2026-09-13</x:v>
      </x:c>
      <x:c r="B126" s="43" t="str">
        <x:v>H6_PEER_MULTIPLE</x:v>
      </x:c>
      <x:c r="C126" s="43" t="str">
        <x:v>sources/valuation/ABB_fundamentals.json</x:v>
      </x:c>
      <x:c r="D126" s="43" t="str">
        <x:v>79754e00086deca83b94d4199728b7a10f6366f587ba38e86e4ca6abcf77f116</x:v>
      </x:c>
      <x:c r="E126" s="43" t="str">
        <x:v>Pinned peer fundamental payload</x:v>
      </x:c>
      <x:c r="F126" s="43" t="str">
        <x:v>USD</x:v>
      </x:c>
      <x:c r="G126" s="43" t="n">
        <x:v>15899000000</x:v>
      </x:c>
      <x:c r="H126" s="43" t="str">
        <x:v>PASS</x:v>
      </x:c>
      <x:c r="I126" s="43" t="str">
        <x:v>ABB Book_Equity</x:v>
      </x:c>
      <x:c r="J126" s="43" t="str">
        <x:v>VALUATION</x:v>
      </x:c>
      <x:c r="K126" s="43" t="str">
        <x:v>LATEST_AVAILABLE_TO_2026-06-30</x:v>
      </x:c>
      <x:c r="L126" s="43" t="str">
        <x:v>https://query2.finance.yahoo.com/ws/fundamentals-timeseries/v1/finance/timeseries/ABBN.SW</x:v>
      </x:c>
      <x:c r="M126" s="43" t="str">
        <x:v>2026-09-11</x:v>
      </x:c>
      <x:c r="N126" s="43" t="str">
        <x:v>Yahoo Finance fundamentals-timeseries endpoint</x:v>
      </x:c>
      <x:c r="O126" s="43" t="str">
        <x:v>USD</x:v>
      </x:c>
      <x:c r="P126" s="43" t="n">
        <x:v>15899000000</x:v>
      </x:c>
      <x:c r="Q126" s="43" t="str">
        <x:v>R3-SRC-ABB-BOOK_EQUITY</x:v>
      </x:c>
      <x:c r="R126" s="43" t="str">
        <x:v>PASS</x:v>
      </x:c>
      <x:c r="S126" s="43" t="str">
        <x:v>source-native; same-currency ratio</x:v>
      </x:c>
      <x:c r="T126" s="43" t="str">
        <x:v>PASS</x:v>
      </x:c>
    </x:row>
    <x:row r="127">
      <x:c r="A127" s="43" t="str">
        <x:v>2026-09-13</x:v>
      </x:c>
      <x:c r="B127" s="43" t="str">
        <x:v>H1_HISTORICAL_SOURCE_REPLAY</x:v>
      </x:c>
      <x:c r="C127" s="43" t="str">
        <x:v>sources/operating/annual_reports/2020/Midea_2020_Annual_Report_CAS_EN.pdf</x:v>
      </x:c>
      <x:c r="D127" s="43" t="str">
        <x:v>622768db475bd93501c5df68740fa5ec3d63619512c1271218ee88c47c370bee</x:v>
      </x:c>
      <x:c r="E127" s="43" t="str">
        <x:v>Midea_2020_Annual_Report_CAS_EN.pdf</x:v>
      </x:c>
      <x:c r="F127" s="43" t="str">
        <x:v>PDF</x:v>
      </x:c>
      <x:c r="G127" s="43" t="str">
        <x:v>PRIMARY_DOCUMENT</x:v>
      </x:c>
      <x:c r="H127" s="43" t="str">
        <x:v>PASS</x:v>
      </x:c>
      <x:c r="I127" s="43" t="str">
        <x:v>Audited annual financial statements and notes</x:v>
      </x:c>
      <x:c r="J127" s="43" t="str">
        <x:v>MODEL</x:v>
      </x:c>
      <x:c r="K127" s="43" t="n">
        <x:v>2020</x:v>
      </x:c>
      <x:c r="L127" s="43" t="str">
        <x:v>MIDEA_OFFICIAL_DISCLOSURE_ARCHIVE</x:v>
      </x:c>
      <x:c r="M127" s="43" t="n">
        <x:v>2020</x:v>
      </x:c>
      <x:c r="N127" s="43" t="str">
        <x:v>Midea Group</x:v>
      </x:c>
      <x:c r="O127" s="43" t="str">
        <x:v>PDF</x:v>
      </x:c>
      <x:c r="P127" s="43" t="str">
        <x:v>PRIMARY_DOCUMENT</x:v>
      </x:c>
      <x:c r="Q127" s="43" t="str">
        <x:v>R3-SRC-ANNUAL-2020-_CAS_EN</x:v>
      </x:c>
      <x:c r="R127" s="43" t="str">
        <x:v>PASS</x:v>
      </x:c>
      <x:c r="S127" s="43" t="str">
        <x:v>NONE</x:v>
      </x:c>
      <x:c r="T127" s="43" t="str">
        <x:v>NOT_APPLICABLE</x:v>
      </x:c>
    </x:row>
    <x:row r="128">
      <x:c r="A128" s="43" t="str">
        <x:v>2026-09-13</x:v>
      </x:c>
      <x:c r="B128" s="43" t="str">
        <x:v>H1_HISTORICAL_SOURCE_REPLAY</x:v>
      </x:c>
      <x:c r="C128" s="43" t="str">
        <x:v>sources/operating/annual_reports/2021/Midea_2021_Annual_Report_CAS_EN.pdf</x:v>
      </x:c>
      <x:c r="D128" s="43" t="str">
        <x:v>0b44bd758b0ac3734c9226b40a4660a30fabae16a7f0a3d1af77e765ebb87221</x:v>
      </x:c>
      <x:c r="E128" s="43" t="str">
        <x:v>Midea_2021_Annual_Report_CAS_EN.pdf</x:v>
      </x:c>
      <x:c r="F128" s="43" t="str">
        <x:v>PDF</x:v>
      </x:c>
      <x:c r="G128" s="43" t="str">
        <x:v>PRIMARY_DOCUMENT</x:v>
      </x:c>
      <x:c r="H128" s="43" t="str">
        <x:v>PASS</x:v>
      </x:c>
      <x:c r="I128" s="43" t="str">
        <x:v>Audited annual financial statements and notes</x:v>
      </x:c>
      <x:c r="J128" s="43" t="str">
        <x:v>MODEL</x:v>
      </x:c>
      <x:c r="K128" s="43" t="n">
        <x:v>2021</x:v>
      </x:c>
      <x:c r="L128" s="43" t="str">
        <x:v>MIDEA_OFFICIAL_DISCLOSURE_ARCHIVE</x:v>
      </x:c>
      <x:c r="M128" s="43" t="n">
        <x:v>2021</x:v>
      </x:c>
      <x:c r="N128" s="43" t="str">
        <x:v>Midea Group</x:v>
      </x:c>
      <x:c r="O128" s="43" t="str">
        <x:v>PDF</x:v>
      </x:c>
      <x:c r="P128" s="43" t="str">
        <x:v>PRIMARY_DOCUMENT</x:v>
      </x:c>
      <x:c r="Q128" s="43" t="str">
        <x:v>R3-SRC-ANNUAL-2021-_CAS_EN</x:v>
      </x:c>
      <x:c r="R128" s="43" t="str">
        <x:v>PASS</x:v>
      </x:c>
      <x:c r="S128" s="43" t="str">
        <x:v>NONE</x:v>
      </x:c>
      <x:c r="T128" s="43" t="str">
        <x:v>NOT_APPLICABLE</x:v>
      </x:c>
    </x:row>
    <x:row r="129">
      <x:c r="A129" s="43" t="str">
        <x:v>2026-09-13</x:v>
      </x:c>
      <x:c r="B129" s="43" t="str">
        <x:v>H1_HISTORICAL_SOURCE_REPLAY</x:v>
      </x:c>
      <x:c r="C129" s="43" t="str">
        <x:v>sources/operating/annual_reports/2022/Midea_2022_Annual_Report_CAS_EN.pdf</x:v>
      </x:c>
      <x:c r="D129" s="43" t="str">
        <x:v>e393853f3cc4031702decec6b403f0873e0754b72c126796b997dd87e447acc9</x:v>
      </x:c>
      <x:c r="E129" s="43" t="str">
        <x:v>Midea_2022_Annual_Report_CAS_EN.pdf</x:v>
      </x:c>
      <x:c r="F129" s="43" t="str">
        <x:v>PDF</x:v>
      </x:c>
      <x:c r="G129" s="43" t="str">
        <x:v>PRIMARY_DOCUMENT</x:v>
      </x:c>
      <x:c r="H129" s="43" t="str">
        <x:v>PASS</x:v>
      </x:c>
      <x:c r="I129" s="43" t="str">
        <x:v>Audited annual financial statements and notes</x:v>
      </x:c>
      <x:c r="J129" s="43" t="str">
        <x:v>MODEL</x:v>
      </x:c>
      <x:c r="K129" s="43" t="n">
        <x:v>2022</x:v>
      </x:c>
      <x:c r="L129" s="43" t="str">
        <x:v>MIDEA_OFFICIAL_DISCLOSURE_ARCHIVE</x:v>
      </x:c>
      <x:c r="M129" s="43" t="n">
        <x:v>2022</x:v>
      </x:c>
      <x:c r="N129" s="43" t="str">
        <x:v>Midea Group</x:v>
      </x:c>
      <x:c r="O129" s="43" t="str">
        <x:v>PDF</x:v>
      </x:c>
      <x:c r="P129" s="43" t="str">
        <x:v>PRIMARY_DOCUMENT</x:v>
      </x:c>
      <x:c r="Q129" s="43" t="str">
        <x:v>R3-SRC-ANNUAL-2022-_CAS_EN</x:v>
      </x:c>
      <x:c r="R129" s="43" t="str">
        <x:v>PASS</x:v>
      </x:c>
      <x:c r="S129" s="43" t="str">
        <x:v>NONE</x:v>
      </x:c>
      <x:c r="T129" s="43" t="str">
        <x:v>NOT_APPLICABLE</x:v>
      </x:c>
    </x:row>
    <x:row r="130">
      <x:c r="A130" s="43" t="str">
        <x:v>2026-09-13</x:v>
      </x:c>
      <x:c r="B130" s="43" t="str">
        <x:v>H1_HISTORICAL_SOURCE_REPLAY</x:v>
      </x:c>
      <x:c r="C130" s="43" t="str">
        <x:v>sources/operating/annual_reports/2023/Midea_2023_Annual_Report_CAS_EN.pdf</x:v>
      </x:c>
      <x:c r="D130" s="43" t="str">
        <x:v>f2ef742efb51e27bb5154398cabeb2f3174349d95d001ad23e5c4ccf7f6f4130</x:v>
      </x:c>
      <x:c r="E130" s="43" t="str">
        <x:v>Midea_2023_Annual_Report_CAS_EN.pdf</x:v>
      </x:c>
      <x:c r="F130" s="43" t="str">
        <x:v>PDF</x:v>
      </x:c>
      <x:c r="G130" s="43" t="str">
        <x:v>PRIMARY_DOCUMENT</x:v>
      </x:c>
      <x:c r="H130" s="43" t="str">
        <x:v>PASS</x:v>
      </x:c>
      <x:c r="I130" s="43" t="str">
        <x:v>Audited annual financial statements and notes</x:v>
      </x:c>
      <x:c r="J130" s="43" t="str">
        <x:v>MODEL</x:v>
      </x:c>
      <x:c r="K130" s="43" t="n">
        <x:v>2023</x:v>
      </x:c>
      <x:c r="L130" s="43" t="str">
        <x:v>MIDEA_OFFICIAL_DISCLOSURE_ARCHIVE</x:v>
      </x:c>
      <x:c r="M130" s="43" t="n">
        <x:v>2023</x:v>
      </x:c>
      <x:c r="N130" s="43" t="str">
        <x:v>Midea Group</x:v>
      </x:c>
      <x:c r="O130" s="43" t="str">
        <x:v>PDF</x:v>
      </x:c>
      <x:c r="P130" s="43" t="str">
        <x:v>PRIMARY_DOCUMENT</x:v>
      </x:c>
      <x:c r="Q130" s="43" t="str">
        <x:v>R3-SRC-ANNUAL-2023-_CAS_EN</x:v>
      </x:c>
      <x:c r="R130" s="43" t="str">
        <x:v>PASS</x:v>
      </x:c>
      <x:c r="S130" s="43" t="str">
        <x:v>NONE</x:v>
      </x:c>
      <x:c r="T130" s="43" t="str">
        <x:v>NOT_APPLICABLE</x:v>
      </x:c>
    </x:row>
    <x:row r="131">
      <x:c r="A131" s="43" t="str">
        <x:v>2026-09-13</x:v>
      </x:c>
      <x:c r="B131" s="43" t="str">
        <x:v>H1_HISTORICAL_SOURCE_REPLAY</x:v>
      </x:c>
      <x:c r="C131" s="43" t="str">
        <x:v>sources/operating/annual_reports/2024/Midea_2024_Annual_Report_CAS.pdf</x:v>
      </x:c>
      <x:c r="D131" s="43" t="str">
        <x:v>b17a9b9b84bca1d2a4e4a3cadc5dd5ba5c85e3f1fd2d758acd3315b5b040ecd9</x:v>
      </x:c>
      <x:c r="E131" s="43" t="str">
        <x:v>Midea_2024_Annual_Report_CAS.pdf</x:v>
      </x:c>
      <x:c r="F131" s="43" t="str">
        <x:v>PDF</x:v>
      </x:c>
      <x:c r="G131" s="43" t="str">
        <x:v>PRIMARY_DOCUMENT</x:v>
      </x:c>
      <x:c r="H131" s="43" t="str">
        <x:v>PASS</x:v>
      </x:c>
      <x:c r="I131" s="43" t="str">
        <x:v>Audited annual financial statements and notes</x:v>
      </x:c>
      <x:c r="J131" s="43" t="str">
        <x:v>MODEL</x:v>
      </x:c>
      <x:c r="K131" s="43" t="n">
        <x:v>2024</x:v>
      </x:c>
      <x:c r="L131" s="43" t="str">
        <x:v>MIDEA_OFFICIAL_DISCLOSURE_ARCHIVE</x:v>
      </x:c>
      <x:c r="M131" s="43" t="n">
        <x:v>2024</x:v>
      </x:c>
      <x:c r="N131" s="43" t="str">
        <x:v>Midea Group</x:v>
      </x:c>
      <x:c r="O131" s="43" t="str">
        <x:v>PDF</x:v>
      </x:c>
      <x:c r="P131" s="43" t="str">
        <x:v>PRIMARY_DOCUMENT</x:v>
      </x:c>
      <x:c r="Q131" s="43" t="str">
        <x:v>R3-SRC-ANNUAL-2024-ort_CAS</x:v>
      </x:c>
      <x:c r="R131" s="43" t="str">
        <x:v>PASS</x:v>
      </x:c>
      <x:c r="S131" s="43" t="str">
        <x:v>NONE</x:v>
      </x:c>
      <x:c r="T131" s="43" t="str">
        <x:v>NOT_APPLICABLE</x:v>
      </x:c>
    </x:row>
    <x:row r="132">
      <x:c r="A132" s="43" t="str">
        <x:v>2026-09-13</x:v>
      </x:c>
      <x:c r="B132" s="43" t="str">
        <x:v>H1_HISTORICAL_SOURCE_REPLAY</x:v>
      </x:c>
      <x:c r="C132" s="43" t="str">
        <x:v>sources/operating/annual_reports/2024/Midea_2024_Annual_Report_CAS_CN.pdf</x:v>
      </x:c>
      <x:c r="D132" s="43" t="str">
        <x:v>c298a33cdb95f1d53acfd02ed98e9b47e968c34174be0a06556bb101b26abb96</x:v>
      </x:c>
      <x:c r="E132" s="43" t="str">
        <x:v>Midea_2024_Annual_Report_CAS_CN.pdf</x:v>
      </x:c>
      <x:c r="F132" s="43" t="str">
        <x:v>PDF</x:v>
      </x:c>
      <x:c r="G132" s="43" t="str">
        <x:v>PRIMARY_DOCUMENT</x:v>
      </x:c>
      <x:c r="H132" s="43" t="str">
        <x:v>PASS</x:v>
      </x:c>
      <x:c r="I132" s="43" t="str">
        <x:v>Audited annual financial statements and notes</x:v>
      </x:c>
      <x:c r="J132" s="43" t="str">
        <x:v>MODEL</x:v>
      </x:c>
      <x:c r="K132" s="43" t="n">
        <x:v>2024</x:v>
      </x:c>
      <x:c r="L132" s="43" t="str">
        <x:v>MIDEA_OFFICIAL_DISCLOSURE_ARCHIVE</x:v>
      </x:c>
      <x:c r="M132" s="43" t="n">
        <x:v>2024</x:v>
      </x:c>
      <x:c r="N132" s="43" t="str">
        <x:v>Midea Group</x:v>
      </x:c>
      <x:c r="O132" s="43" t="str">
        <x:v>PDF</x:v>
      </x:c>
      <x:c r="P132" s="43" t="str">
        <x:v>PRIMARY_DOCUMENT</x:v>
      </x:c>
      <x:c r="Q132" s="43" t="str">
        <x:v>R3-SRC-ANNUAL-2024-_CAS_CN</x:v>
      </x:c>
      <x:c r="R132" s="43" t="str">
        <x:v>PASS</x:v>
      </x:c>
      <x:c r="S132" s="43" t="str">
        <x:v>NONE</x:v>
      </x:c>
      <x:c r="T132" s="43" t="str">
        <x:v>NOT_APPLICABLE</x:v>
      </x:c>
    </x:row>
    <x:row r="133">
      <x:c r="A133" s="43" t="str">
        <x:v>2026-09-13</x:v>
      </x:c>
      <x:c r="B133" s="43" t="str">
        <x:v>H1_HISTORICAL_SOURCE_REPLAY</x:v>
      </x:c>
      <x:c r="C133" s="43" t="str">
        <x:v>sources/operating/annual_reports/2025/Midea_2025_Annual_Report_CAS_CN.pdf</x:v>
      </x:c>
      <x:c r="D133" s="43" t="str">
        <x:v>c413ed1b993290ec98b254af4bf6ad69edb5a2230bbaec1b15702119b24d4f5c</x:v>
      </x:c>
      <x:c r="E133" s="43" t="str">
        <x:v>Midea_2025_Annual_Report_CAS_CN.pdf</x:v>
      </x:c>
      <x:c r="F133" s="43" t="str">
        <x:v>PDF</x:v>
      </x:c>
      <x:c r="G133" s="43" t="str">
        <x:v>PRIMARY_DOCUMENT</x:v>
      </x:c>
      <x:c r="H133" s="43" t="str">
        <x:v>PASS</x:v>
      </x:c>
      <x:c r="I133" s="43" t="str">
        <x:v>Audited annual financial statements and notes</x:v>
      </x:c>
      <x:c r="J133" s="43" t="str">
        <x:v>MODEL</x:v>
      </x:c>
      <x:c r="K133" s="43" t="n">
        <x:v>2025</x:v>
      </x:c>
      <x:c r="L133" s="43" t="str">
        <x:v>MIDEA_OFFICIAL_DISCLOSURE_ARCHIVE</x:v>
      </x:c>
      <x:c r="M133" s="43" t="n">
        <x:v>2025</x:v>
      </x:c>
      <x:c r="N133" s="43" t="str">
        <x:v>Midea Group</x:v>
      </x:c>
      <x:c r="O133" s="43" t="str">
        <x:v>PDF</x:v>
      </x:c>
      <x:c r="P133" s="43" t="str">
        <x:v>PRIMARY_DOCUMENT</x:v>
      </x:c>
      <x:c r="Q133" s="43" t="str">
        <x:v>R3-SRC-ANNUAL-2025-_CAS_CN</x:v>
      </x:c>
      <x:c r="R133" s="43" t="str">
        <x:v>PASS</x:v>
      </x:c>
      <x:c r="S133" s="43" t="str">
        <x:v>NONE</x:v>
      </x:c>
      <x:c r="T133" s="43" t="str">
        <x:v>NOT_APPLICABLE</x:v>
      </x:c>
    </x:row>
    <x:row r="134">
      <x:c r="A134" s="43" t="str">
        <x:v>2026-09-13</x:v>
      </x:c>
      <x:c r="B134" s="43" t="str">
        <x:v>H1_HISTORICAL_SOURCE_REPLAY</x:v>
      </x:c>
      <x:c r="C134" s="43" t="str">
        <x:v>sources/operating/annual_reports/2025/Midea_2025_Annual_Report_IFRS_EN.pdf</x:v>
      </x:c>
      <x:c r="D134" s="43" t="str">
        <x:v>d70965711c0afcaad039a5045728dd0e3235033b34cf7e5ee5b61067da8d1eb1</x:v>
      </x:c>
      <x:c r="E134" s="43" t="str">
        <x:v>Midea_2025_Annual_Report_IFRS_EN.pdf</x:v>
      </x:c>
      <x:c r="F134" s="43" t="str">
        <x:v>PDF</x:v>
      </x:c>
      <x:c r="G134" s="43" t="str">
        <x:v>PRIMARY_DOCUMENT</x:v>
      </x:c>
      <x:c r="H134" s="43" t="str">
        <x:v>PASS</x:v>
      </x:c>
      <x:c r="I134" s="43" t="str">
        <x:v>Audited annual financial statements and notes</x:v>
      </x:c>
      <x:c r="J134" s="43" t="str">
        <x:v>MODEL</x:v>
      </x:c>
      <x:c r="K134" s="43" t="n">
        <x:v>2025</x:v>
      </x:c>
      <x:c r="L134" s="43" t="str">
        <x:v>MIDEA_OFFICIAL_DISCLOSURE_ARCHIVE</x:v>
      </x:c>
      <x:c r="M134" s="43" t="n">
        <x:v>2025</x:v>
      </x:c>
      <x:c r="N134" s="43" t="str">
        <x:v>Midea Group</x:v>
      </x:c>
      <x:c r="O134" s="43" t="str">
        <x:v>PDF</x:v>
      </x:c>
      <x:c r="P134" s="43" t="str">
        <x:v>PRIMARY_DOCUMENT</x:v>
      </x:c>
      <x:c r="Q134" s="43" t="str">
        <x:v>R3-SRC-ANNUAL-2025-IFRS_EN</x:v>
      </x:c>
      <x:c r="R134" s="43" t="str">
        <x:v>PASS</x:v>
      </x:c>
      <x:c r="S134" s="43" t="str">
        <x:v>NONE</x:v>
      </x:c>
      <x:c r="T134" s="43" t="str">
        <x:v>NOT_APPLICABLE</x:v>
      </x:c>
    </x:row>
    <x:row r="135">
      <x:c r="A135" s="43" t="str">
        <x:v>2026-09-13</x:v>
      </x:c>
      <x:c r="B135" s="43" t="str">
        <x:v>COST_OF_DEBT_CREDIT_RATIONALE</x:v>
      </x:c>
      <x:c r="C135" s="43" t="str">
        <x:v>sources/valuation/MIDEA_SPG_CHINA_RATING_2025.pdf</x:v>
      </x:c>
      <x:c r="D135" s="43" t="str">
        <x:v>ecf7c9da377b639b41a4362df0142ed0ba299472e9bc4931995c6e3b9a8fc68d</x:v>
      </x:c>
      <x:c r="E135" s="43" t="str">
        <x:v>Midea Group 2025 credit rating report</x:v>
      </x:c>
      <x:c r="F135" s="43" t="str">
        <x:v>RATING</x:v>
      </x:c>
      <x:c r="G135" s="43" t="str">
        <x:v>AAAspc stable</x:v>
      </x:c>
      <x:c r="H135" s="43" t="str">
        <x:v>PASS</x:v>
      </x:c>
      <x:c r="I135" s="43" t="str">
        <x:v>Issuer credit profile / AAAspc rationale</x:v>
      </x:c>
      <x:c r="J135" s="43" t="str">
        <x:v>VALUATION</x:v>
      </x:c>
      <x:c r="K135" s="43" t="str">
        <x:v>2025-07-11</x:v>
      </x:c>
      <x:c r="L135" s="43" t="str">
        <x:v>https://www.spgchinaratings.cn/upload/20250711_credit-rating-report_mideagroup_2025_cn.pdf</x:v>
      </x:c>
      <x:c r="M135" s="43" t="str">
        <x:v>2025-07-11</x:v>
      </x:c>
      <x:c r="N135" s="43" t="str">
        <x:v>S&amp;P Global (China) Ratings</x:v>
      </x:c>
      <x:c r="O135" s="43" t="str">
        <x:v>RATING</x:v>
      </x:c>
      <x:c r="P135" s="43" t="str">
        <x:v>AAAspc stable</x:v>
      </x:c>
      <x:c r="Q135" s="43" t="str">
        <x:v>R3-SRC-MIDEA-RATING</x:v>
      </x:c>
      <x:c r="R135" s="43" t="str">
        <x:v>PASS</x:v>
      </x:c>
      <x:c r="S135" s="43" t="str">
        <x:v>supports AAA market borrowing proxy</x:v>
      </x:c>
      <x:c r="T135" s="43" t="str">
        <x:v>PASS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4.380000114440918" hidden="0" customWidth="1"/>
    <x:col min="3" max="3" width="7.130000114440918" hidden="0" customWidth="1"/>
    <x:col min="4" max="4" width="13.75" hidden="0" customWidth="1"/>
    <x:col min="5" max="5" width="10.880000114440918" hidden="0" customWidth="1"/>
    <x:col min="6" max="6" width="4.25" hidden="0" customWidth="1"/>
  </x:cols>
  <x:sheetData>
    <x:row r="1">
      <x:c r="A1" s="37" t="str">
        <x:v>Historical IS</x:v>
      </x:c>
      <x:c r="B1" s="37"/>
      <x:c r="C1" s="37"/>
      <x:c r="D1" s="37"/>
      <x:c r="E1" s="37"/>
      <x:c r="F1" s="37"/>
      <x:c r="G1" s="37"/>
      <x:c r="H1" s="37"/>
    </x:row>
    <x:row r="2">
      <x:c r="A2" s="39"/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2" t="str">
        <x:v>Metric_ID</x:v>
      </x:c>
      <x:c r="B4" s="42" t="str">
        <x:v>Owner</x:v>
      </x:c>
      <x:c r="C4" s="42" t="str">
        <x:v>Scenario</x:v>
      </x:c>
      <x:c r="D4" s="42" t="str">
        <x:v>Unit</x:v>
      </x:c>
      <x:c r="E4" s="42" t="str">
        <x:v>Value</x:v>
      </x:c>
      <x:c r="F4" s="42" t="str">
        <x:v>Year</x:v>
      </x:c>
      <x:c r="G4" s="39"/>
      <x:c r="H4" s="39"/>
    </x:row>
    <x:row r="5">
      <x:c r="A5" s="43" t="str">
        <x:v>IS_ADJUSTED_ATTRIBUTABLE_NI</x:v>
      </x:c>
      <x:c r="B5" s="43" t="str">
        <x:v>H1_CERTIFIED</x:v>
      </x:c>
      <x:c r="C5" s="43" t="str">
        <x:v>BASE</x:v>
      </x:c>
      <x:c r="D5" s="43" t="str">
        <x:v>RMB_MILLION</x:v>
      </x:c>
      <x:c r="E5" s="43" t="n">
        <x:v>41267.233</x:v>
      </x:c>
      <x:c r="F5" s="43" t="n">
        <x:v>2025</x:v>
      </x:c>
      <x:c r="G5" s="39"/>
      <x:c r="H5" s="39"/>
    </x:row>
    <x:row r="6">
      <x:c r="A6" s="43" t="str">
        <x:v>IS_ADMIN_EXPENSE</x:v>
      </x:c>
      <x:c r="B6" s="43" t="str">
        <x:v>H1_CERTIFIED</x:v>
      </x:c>
      <x:c r="C6" s="43" t="str">
        <x:v>BASE</x:v>
      </x:c>
      <x:c r="D6" s="43" t="str">
        <x:v>RMB_MILLION</x:v>
      </x:c>
      <x:c r="E6" s="43" t="n">
        <x:v>-16092.311</x:v>
      </x:c>
      <x:c r="F6" s="43" t="n">
        <x:v>2025</x:v>
      </x:c>
      <x:c r="G6" s="39"/>
      <x:c r="H6" s="39"/>
    </x:row>
    <x:row r="7">
      <x:c r="A7" s="43" t="str">
        <x:v>IS_ASSET_DISPOSAL</x:v>
      </x:c>
      <x:c r="B7" s="43" t="str">
        <x:v>H1_CERTIFIED</x:v>
      </x:c>
      <x:c r="C7" s="43" t="str">
        <x:v>BASE</x:v>
      </x:c>
      <x:c r="D7" s="43" t="str">
        <x:v>RMB_MILLION</x:v>
      </x:c>
      <x:c r="E7" s="43" t="n">
        <x:v>-76.024</x:v>
      </x:c>
      <x:c r="F7" s="43" t="n">
        <x:v>2025</x:v>
      </x:c>
      <x:c r="G7" s="39"/>
      <x:c r="H7" s="39"/>
    </x:row>
    <x:row r="8">
      <x:c r="A8" s="43" t="str">
        <x:v>IS_ASSET_IMPAIRMENT</x:v>
      </x:c>
      <x:c r="B8" s="43" t="str">
        <x:v>H1_CERTIFIED</x:v>
      </x:c>
      <x:c r="C8" s="43" t="str">
        <x:v>BASE</x:v>
      </x:c>
      <x:c r="D8" s="43" t="str">
        <x:v>RMB_MILLION</x:v>
      </x:c>
      <x:c r="E8" s="43" t="n">
        <x:v>-1156.469</x:v>
      </x:c>
      <x:c r="F8" s="43" t="n">
        <x:v>2025</x:v>
      </x:c>
      <x:c r="G8" s="39"/>
      <x:c r="H8" s="39"/>
    </x:row>
    <x:row r="9">
      <x:c r="A9" s="43" t="str">
        <x:v>IS_ATTRIBUTABLE_NI</x:v>
      </x:c>
      <x:c r="B9" s="43" t="str">
        <x:v>H1_CERTIFIED</x:v>
      </x:c>
      <x:c r="C9" s="43" t="str">
        <x:v>BASE</x:v>
      </x:c>
      <x:c r="D9" s="43" t="str">
        <x:v>RMB_MILLION</x:v>
      </x:c>
      <x:c r="E9" s="43" t="n">
        <x:v>43945.411</x:v>
      </x:c>
      <x:c r="F9" s="43" t="n">
        <x:v>2025</x:v>
      </x:c>
      <x:c r="G9" s="39"/>
      <x:c r="H9" s="39"/>
    </x:row>
    <x:row r="10">
      <x:c r="A10" s="43" t="str">
        <x:v>IS_BASIC_EPS</x:v>
      </x:c>
      <x:c r="B10" s="43" t="str">
        <x:v>H1_CERTIFIED</x:v>
      </x:c>
      <x:c r="C10" s="43" t="str">
        <x:v>BASE</x:v>
      </x:c>
      <x:c r="D10" s="43" t="str">
        <x:v>RMB_PER_SHARE</x:v>
      </x:c>
      <x:c r="E10" s="43" t="n">
        <x:v>5.8</x:v>
      </x:c>
      <x:c r="F10" s="43" t="n">
        <x:v>2025</x:v>
      </x:c>
      <x:c r="G10" s="39"/>
      <x:c r="H10" s="39"/>
    </x:row>
    <x:row r="11">
      <x:c r="A11" s="43" t="str">
        <x:v>IS_CREDIT_IMPAIRMENT</x:v>
      </x:c>
      <x:c r="B11" s="43" t="str">
        <x:v>H1_CERTIFIED</x:v>
      </x:c>
      <x:c r="C11" s="43" t="str">
        <x:v>BASE</x:v>
      </x:c>
      <x:c r="D11" s="43" t="str">
        <x:v>RMB_MILLION</x:v>
      </x:c>
      <x:c r="E11" s="43" t="n">
        <x:v>-355.86</x:v>
      </x:c>
      <x:c r="F11" s="43" t="n">
        <x:v>2025</x:v>
      </x:c>
      <x:c r="G11" s="39"/>
      <x:c r="H11" s="39"/>
    </x:row>
    <x:row r="12">
      <x:c r="A12" s="43" t="str">
        <x:v>IS_DILUTED_EPS</x:v>
      </x:c>
      <x:c r="B12" s="43" t="str">
        <x:v>H1_CERTIFIED</x:v>
      </x:c>
      <x:c r="C12" s="43" t="str">
        <x:v>BASE</x:v>
      </x:c>
      <x:c r="D12" s="43" t="str">
        <x:v>RMB_PER_SHARE</x:v>
      </x:c>
      <x:c r="E12" s="43" t="n">
        <x:v>5.76</x:v>
      </x:c>
      <x:c r="F12" s="43" t="n">
        <x:v>2025</x:v>
      </x:c>
      <x:c r="G12" s="39"/>
      <x:c r="H12" s="39"/>
    </x:row>
    <x:row r="13">
      <x:c r="A13" s="43" t="str">
        <x:v>IS_FAIR_VALUE_CHANGE</x:v>
      </x:c>
      <x:c r="B13" s="43" t="str">
        <x:v>H1_CERTIFIED</x:v>
      </x:c>
      <x:c r="C13" s="43" t="str">
        <x:v>BASE</x:v>
      </x:c>
      <x:c r="D13" s="43" t="str">
        <x:v>RMB_MILLION</x:v>
      </x:c>
      <x:c r="E13" s="43" t="n">
        <x:v>782.358</x:v>
      </x:c>
      <x:c r="F13" s="43" t="n">
        <x:v>2025</x:v>
      </x:c>
      <x:c r="G13" s="39"/>
      <x:c r="H13" s="39"/>
    </x:row>
    <x:row r="14">
      <x:c r="A14" s="43" t="str">
        <x:v>IS_FEE_COMMISSION_EXPENSE</x:v>
      </x:c>
      <x:c r="B14" s="43" t="str">
        <x:v>H1_CERTIFIED</x:v>
      </x:c>
      <x:c r="C14" s="43" t="str">
        <x:v>BASE</x:v>
      </x:c>
      <x:c r="D14" s="43" t="str">
        <x:v>RMB_MILLION</x:v>
      </x:c>
      <x:c r="E14" s="43" t="n">
        <x:v>-1.642</x:v>
      </x:c>
      <x:c r="F14" s="43" t="n">
        <x:v>2025</x:v>
      </x:c>
      <x:c r="G14" s="39"/>
      <x:c r="H14" s="39"/>
    </x:row>
    <x:row r="15">
      <x:c r="A15" s="43" t="str">
        <x:v>IS_FEE_COMMISSION_INCOME</x:v>
      </x:c>
      <x:c r="B15" s="43" t="str">
        <x:v>H1_CERTIFIED</x:v>
      </x:c>
      <x:c r="C15" s="43" t="str">
        <x:v>BASE</x:v>
      </x:c>
      <x:c r="D15" s="43" t="str">
        <x:v>RMB_MILLION</x:v>
      </x:c>
      <x:c r="E15" s="43" t="n">
        <x:v>0.508</x:v>
      </x:c>
      <x:c r="F15" s="43" t="n">
        <x:v>2025</x:v>
      </x:c>
      <x:c r="G15" s="39"/>
      <x:c r="H15" s="39"/>
    </x:row>
    <x:row r="16">
      <x:c r="A16" s="43" t="str">
        <x:v>IS_FINANCE_INTEREST_INCOME</x:v>
      </x:c>
      <x:c r="B16" s="43" t="str">
        <x:v>H1_CERTIFIED</x:v>
      </x:c>
      <x:c r="C16" s="43" t="str">
        <x:v>BASE</x:v>
      </x:c>
      <x:c r="D16" s="43" t="str">
        <x:v>RMB_MILLION</x:v>
      </x:c>
      <x:c r="E16" s="43" t="n">
        <x:v>8444.301</x:v>
      </x:c>
      <x:c r="F16" s="43" t="n">
        <x:v>2025</x:v>
      </x:c>
      <x:c r="G16" s="39"/>
      <x:c r="H16" s="39"/>
    </x:row>
    <x:row r="17">
      <x:c r="A17" s="43" t="str">
        <x:v>IS_FINANCE_RESULT</x:v>
      </x:c>
      <x:c r="B17" s="43" t="str">
        <x:v>H1_CERTIFIED</x:v>
      </x:c>
      <x:c r="C17" s="43" t="str">
        <x:v>BASE</x:v>
      </x:c>
      <x:c r="D17" s="43" t="str">
        <x:v>RMB_MILLION</x:v>
      </x:c>
      <x:c r="E17" s="43" t="n">
        <x:v>5903.546</x:v>
      </x:c>
      <x:c r="F17" s="43" t="n">
        <x:v>2025</x:v>
      </x:c>
      <x:c r="G17" s="39"/>
      <x:c r="H17" s="39"/>
    </x:row>
    <x:row r="18">
      <x:c r="A18" s="43" t="str">
        <x:v>IS_FINANCIAL_BUSINESS_INTEREST_COST</x:v>
      </x:c>
      <x:c r="B18" s="43" t="str">
        <x:v>H1_CERTIFIED</x:v>
      </x:c>
      <x:c r="C18" s="43" t="str">
        <x:v>BASE</x:v>
      </x:c>
      <x:c r="D18" s="43" t="str">
        <x:v>RMB_MILLION</x:v>
      </x:c>
      <x:c r="E18" s="43" t="n">
        <x:v>-0.275</x:v>
      </x:c>
      <x:c r="F18" s="43" t="n">
        <x:v>2025</x:v>
      </x:c>
      <x:c r="G18" s="39"/>
      <x:c r="H18" s="39"/>
    </x:row>
    <x:row r="19">
      <x:c r="A19" s="43" t="str">
        <x:v>IS_FINANCIAL_BUSINESS_INTEREST_INCOME</x:v>
      </x:c>
      <x:c r="B19" s="43" t="str">
        <x:v>H1_CERTIFIED</x:v>
      </x:c>
      <x:c r="C19" s="43" t="str">
        <x:v>BASE</x:v>
      </x:c>
      <x:c r="D19" s="43" t="str">
        <x:v>RMB_MILLION</x:v>
      </x:c>
      <x:c r="E19" s="43" t="n">
        <x:v>2050.168</x:v>
      </x:c>
      <x:c r="F19" s="43" t="n">
        <x:v>2025</x:v>
      </x:c>
      <x:c r="G19" s="39"/>
      <x:c r="H19" s="39"/>
    </x:row>
    <x:row r="20">
      <x:c r="A20" s="43" t="str">
        <x:v>IS_FINANCING_INTEREST_EXPENSE</x:v>
      </x:c>
      <x:c r="B20" s="43" t="str">
        <x:v>H1_CERTIFIED</x:v>
      </x:c>
      <x:c r="C20" s="43" t="str">
        <x:v>BASE</x:v>
      </x:c>
      <x:c r="D20" s="43" t="str">
        <x:v>RMB_MILLION</x:v>
      </x:c>
      <x:c r="E20" s="43" t="n">
        <x:v>-2211.331</x:v>
      </x:c>
      <x:c r="F20" s="43" t="n">
        <x:v>2025</x:v>
      </x:c>
      <x:c r="G20" s="39"/>
      <x:c r="H20" s="39"/>
    </x:row>
    <x:row r="21">
      <x:c r="A21" s="43" t="str">
        <x:v>IS_INCOME_TAX</x:v>
      </x:c>
      <x:c r="B21" s="43" t="str">
        <x:v>H1_CERTIFIED</x:v>
      </x:c>
      <x:c r="C21" s="43" t="str">
        <x:v>BASE</x:v>
      </x:c>
      <x:c r="D21" s="43" t="str">
        <x:v>RMB_MILLION</x:v>
      </x:c>
      <x:c r="E21" s="43" t="n">
        <x:v>-8565.147</x:v>
      </x:c>
      <x:c r="F21" s="43" t="n">
        <x:v>2025</x:v>
      </x:c>
      <x:c r="G21" s="39"/>
      <x:c r="H21" s="39"/>
    </x:row>
    <x:row r="22">
      <x:c r="A22" s="43" t="str">
        <x:v>IS_INVESTMENT_INCOME</x:v>
      </x:c>
      <x:c r="B22" s="43" t="str">
        <x:v>H1_CERTIFIED</x:v>
      </x:c>
      <x:c r="C22" s="43" t="str">
        <x:v>BASE</x:v>
      </x:c>
      <x:c r="D22" s="43" t="str">
        <x:v>RMB_MILLION</x:v>
      </x:c>
      <x:c r="E22" s="43" t="n">
        <x:v>1694.661</x:v>
      </x:c>
      <x:c r="F22" s="43" t="n">
        <x:v>2025</x:v>
      </x:c>
      <x:c r="G22" s="39"/>
      <x:c r="H22" s="39"/>
    </x:row>
    <x:row r="23">
      <x:c r="A23" s="43" t="str">
        <x:v>IS_NCI_PROFIT</x:v>
      </x:c>
      <x:c r="B23" s="43" t="str">
        <x:v>H1_CERTIFIED</x:v>
      </x:c>
      <x:c r="C23" s="43" t="str">
        <x:v>BASE</x:v>
      </x:c>
      <x:c r="D23" s="43" t="str">
        <x:v>RMB_MILLION</x:v>
      </x:c>
      <x:c r="E23" s="43" t="n">
        <x:v>574.785</x:v>
      </x:c>
      <x:c r="F23" s="43" t="n">
        <x:v>2025</x:v>
      </x:c>
      <x:c r="G23" s="39"/>
      <x:c r="H23" s="39"/>
    </x:row>
    <x:row r="24">
      <x:c r="A24" s="43" t="str">
        <x:v>IS_NET_PROFIT</x:v>
      </x:c>
      <x:c r="B24" s="43" t="str">
        <x:v>H1_CERTIFIED</x:v>
      </x:c>
      <x:c r="C24" s="43" t="str">
        <x:v>BASE</x:v>
      </x:c>
      <x:c r="D24" s="43" t="str">
        <x:v>RMB_MILLION</x:v>
      </x:c>
      <x:c r="E24" s="43" t="n">
        <x:v>44520.196</x:v>
      </x:c>
      <x:c r="F24" s="43" t="n">
        <x:v>2025</x:v>
      </x:c>
      <x:c r="G24" s="39"/>
      <x:c r="H24" s="39"/>
    </x:row>
    <x:row r="25">
      <x:c r="A25" s="43" t="str">
        <x:v>IS_OPERATING_COST</x:v>
      </x:c>
      <x:c r="B25" s="43" t="str">
        <x:v>H1_CERTIFIED</x:v>
      </x:c>
      <x:c r="C25" s="43" t="str">
        <x:v>BASE</x:v>
      </x:c>
      <x:c r="D25" s="43" t="str">
        <x:v>RMB_MILLION</x:v>
      </x:c>
      <x:c r="E25" s="43" t="n">
        <x:v>-335989.528</x:v>
      </x:c>
      <x:c r="F25" s="43" t="n">
        <x:v>2025</x:v>
      </x:c>
      <x:c r="G25" s="39"/>
      <x:c r="H25" s="39"/>
    </x:row>
    <x:row r="26">
      <x:c r="A26" s="43" t="str">
        <x:v>IS_OPERATING_PROFIT</x:v>
      </x:c>
      <x:c r="B26" s="43" t="str">
        <x:v>H1_CERTIFIED</x:v>
      </x:c>
      <x:c r="C26" s="43" t="str">
        <x:v>BASE</x:v>
      </x:c>
      <x:c r="D26" s="43" t="str">
        <x:v>RMB_MILLION</x:v>
      </x:c>
      <x:c r="E26" s="43" t="n">
        <x:v>52978.773</x:v>
      </x:c>
      <x:c r="F26" s="43" t="n">
        <x:v>2025</x:v>
      </x:c>
      <x:c r="G26" s="39"/>
      <x:c r="H26" s="39"/>
    </x:row>
    <x:row r="27">
      <x:c r="A27" s="43" t="str">
        <x:v>IS_OPERATING_REVENUE</x:v>
      </x:c>
      <x:c r="B27" s="43" t="str">
        <x:v>H1_CERTIFIED</x:v>
      </x:c>
      <x:c r="C27" s="43" t="str">
        <x:v>BASE</x:v>
      </x:c>
      <x:c r="D27" s="43" t="str">
        <x:v>RMB_MILLION</x:v>
      </x:c>
      <x:c r="E27" s="43" t="n">
        <x:v>456451.731</x:v>
      </x:c>
      <x:c r="F27" s="43" t="n">
        <x:v>2025</x:v>
      </x:c>
      <x:c r="G27" s="39"/>
      <x:c r="H27" s="39"/>
    </x:row>
    <x:row r="28">
      <x:c r="A28" s="43" t="str">
        <x:v>IS_OTHER_INCOME</x:v>
      </x:c>
      <x:c r="B28" s="43" t="str">
        <x:v>H1_CERTIFIED</x:v>
      </x:c>
      <x:c r="C28" s="43" t="str">
        <x:v>BASE</x:v>
      </x:c>
      <x:c r="D28" s="43" t="str">
        <x:v>RMB_MILLION</x:v>
      </x:c>
      <x:c r="E28" s="43" t="n">
        <x:v>2664.313</x:v>
      </x:c>
      <x:c r="F28" s="43" t="n">
        <x:v>2025</x:v>
      </x:c>
      <x:c r="G28" s="39"/>
      <x:c r="H28" s="39"/>
    </x:row>
    <x:row r="29">
      <x:c r="A29" s="43" t="str">
        <x:v>IS_PBT</x:v>
      </x:c>
      <x:c r="B29" s="43" t="str">
        <x:v>H1_CERTIFIED</x:v>
      </x:c>
      <x:c r="C29" s="43" t="str">
        <x:v>BASE</x:v>
      </x:c>
      <x:c r="D29" s="43" t="str">
        <x:v>RMB_MILLION</x:v>
      </x:c>
      <x:c r="E29" s="43" t="n">
        <x:v>53085.343</x:v>
      </x:c>
      <x:c r="F29" s="43" t="n">
        <x:v>2025</x:v>
      </x:c>
      <x:c r="G29" s="39"/>
      <x:c r="H29" s="39"/>
    </x:row>
    <x:row r="30">
      <x:c r="A30" s="43" t="str">
        <x:v>IS_RD_EXPENSE</x:v>
      </x:c>
      <x:c r="B30" s="43" t="str">
        <x:v>H1_CERTIFIED</x:v>
      </x:c>
      <x:c r="C30" s="43" t="str">
        <x:v>BASE</x:v>
      </x:c>
      <x:c r="D30" s="43" t="str">
        <x:v>RMB_MILLION</x:v>
      </x:c>
      <x:c r="E30" s="43" t="n">
        <x:v>-17787.624</x:v>
      </x:c>
      <x:c r="F30" s="43" t="n">
        <x:v>2025</x:v>
      </x:c>
      <x:c r="G30" s="39"/>
      <x:c r="H30" s="39"/>
    </x:row>
    <x:row r="31">
      <x:c r="A31" s="43" t="str">
        <x:v>IS_SELLING_EXPENSE</x:v>
      </x:c>
      <x:c r="B31" s="43" t="str">
        <x:v>H1_CERTIFIED</x:v>
      </x:c>
      <x:c r="C31" s="43" t="str">
        <x:v>BASE</x:v>
      </x:c>
      <x:c r="D31" s="43" t="str">
        <x:v>RMB_MILLION</x:v>
      </x:c>
      <x:c r="E31" s="43" t="n">
        <x:v>-42891.49</x:v>
      </x:c>
      <x:c r="F31" s="43" t="n">
        <x:v>2025</x:v>
      </x:c>
      <x:c r="G31" s="39"/>
      <x:c r="H31" s="39"/>
    </x:row>
    <x:row r="32">
      <x:c r="A32" s="43" t="str">
        <x:v>IS_TAXES_SURCHARGES</x:v>
      </x:c>
      <x:c r="B32" s="43" t="str">
        <x:v>H1_CERTIFIED</x:v>
      </x:c>
      <x:c r="C32" s="43" t="str">
        <x:v>BASE</x:v>
      </x:c>
      <x:c r="D32" s="43" t="str">
        <x:v>RMB_MILLION</x:v>
      </x:c>
      <x:c r="E32" s="43" t="n">
        <x:v>-2217.289</x:v>
      </x:c>
      <x:c r="F32" s="43" t="n">
        <x:v>2025</x:v>
      </x:c>
      <x:c r="G32" s="39"/>
      <x:c r="H32" s="39"/>
    </x:row>
    <x:row r="33">
      <x:c r="A33" s="43" t="str">
        <x:v>IS_TOTAL_REVENUE</x:v>
      </x:c>
      <x:c r="B33" s="43" t="str">
        <x:v>H1_CERTIFIED</x:v>
      </x:c>
      <x:c r="C33" s="43" t="str">
        <x:v>BASE</x:v>
      </x:c>
      <x:c r="D33" s="43" t="str">
        <x:v>RMB_MILLION</x:v>
      </x:c>
      <x:c r="E33" s="43" t="n">
        <x:v>458502.407</x:v>
      </x:c>
      <x:c r="F33" s="43" t="n">
        <x:v>2025</x:v>
      </x:c>
      <x:c r="G33" s="39"/>
      <x:c r="H33" s="39"/>
    </x:row>
    <x:row r="34">
      <x:c r="A34" s="43" t="str">
        <x:v>IS_ADJUSTED_ATTRIBUTABLE_NI</x:v>
      </x:c>
      <x:c r="B34" s="43" t="str">
        <x:v>H3B_ATTEMPT005</x:v>
      </x:c>
      <x:c r="C34" s="43" t="str">
        <x:v>BASE</x:v>
      </x:c>
      <x:c r="D34" s="43" t="str">
        <x:v>RMB_MILLION</x:v>
      </x:c>
      <x:c r="E34" s="43" t="n">
        <x:v>40563.13268346</x:v>
      </x:c>
      <x:c r="F34" s="43" t="n">
        <x:v>2026</x:v>
      </x:c>
      <x:c r="G34" s="39"/>
      <x:c r="H34" s="39"/>
    </x:row>
    <x:row r="35">
      <x:c r="A35" s="43" t="str">
        <x:v>IS_ADMIN_EXPENSE</x:v>
      </x:c>
      <x:c r="B35" s="43" t="str">
        <x:v>H3B_ATTEMPT005</x:v>
      </x:c>
      <x:c r="C35" s="43" t="str">
        <x:v>BASE</x:v>
      </x:c>
      <x:c r="D35" s="43" t="str">
        <x:v>RMB_MILLION</x:v>
      </x:c>
      <x:c r="E35" s="43" t="n">
        <x:v>-15198.12770352</x:v>
      </x:c>
      <x:c r="F35" s="43" t="n">
        <x:v>2026</x:v>
      </x:c>
      <x:c r="G35" s="39"/>
      <x:c r="H35" s="39"/>
    </x:row>
    <x:row r="36">
      <x:c r="A36" s="43" t="str">
        <x:v>IS_ASSET_DISPOSAL</x:v>
      </x:c>
      <x:c r="B36" s="43" t="str">
        <x:v>H3B_ATTEMPT005</x:v>
      </x:c>
      <x:c r="C36" s="43" t="str">
        <x:v>BASE</x:v>
      </x:c>
      <x:c r="D36" s="43" t="str">
        <x:v>RMB_MILLION</x:v>
      </x:c>
      <x:c r="E36" s="43" t="n">
        <x:v>-80.94289644</x:v>
      </x:c>
      <x:c r="F36" s="43" t="n">
        <x:v>2026</x:v>
      </x:c>
      <x:c r="G36" s="39"/>
      <x:c r="H36" s="39"/>
    </x:row>
    <x:row r="37">
      <x:c r="A37" s="43" t="str">
        <x:v>IS_ASSET_IMPAIRMENT</x:v>
      </x:c>
      <x:c r="B37" s="43" t="str">
        <x:v>H3B_ATTEMPT005</x:v>
      </x:c>
      <x:c r="C37" s="43" t="str">
        <x:v>BASE</x:v>
      </x:c>
      <x:c r="D37" s="43" t="str">
        <x:v>RMB_MILLION</x:v>
      </x:c>
      <x:c r="E37" s="43" t="n">
        <x:v>-1231.29472933</x:v>
      </x:c>
      <x:c r="F37" s="43" t="n">
        <x:v>2026</x:v>
      </x:c>
      <x:c r="G37" s="39"/>
      <x:c r="H37" s="39"/>
    </x:row>
    <x:row r="38">
      <x:c r="A38" s="43" t="str">
        <x:v>IS_ATTRIBUTABLE_NI</x:v>
      </x:c>
      <x:c r="B38" s="43" t="str">
        <x:v>H3B_ATTEMPT005</x:v>
      </x:c>
      <x:c r="C38" s="43" t="str">
        <x:v>BASE</x:v>
      </x:c>
      <x:c r="D38" s="43" t="str">
        <x:v>RMB_MILLION</x:v>
      </x:c>
      <x:c r="E38" s="43" t="n">
        <x:v>43195.61568916</x:v>
      </x:c>
      <x:c r="F38" s="43" t="n">
        <x:v>2026</x:v>
      </x:c>
      <x:c r="G38" s="39"/>
      <x:c r="H38" s="39"/>
    </x:row>
    <x:row r="39">
      <x:c r="A39" s="43" t="str">
        <x:v>IS_BASIC_EPS</x:v>
      </x:c>
      <x:c r="B39" s="43" t="str">
        <x:v>H3B_ATTEMPT005</x:v>
      </x:c>
      <x:c r="C39" s="43" t="str">
        <x:v>BASE</x:v>
      </x:c>
      <x:c r="D39" s="43" t="str">
        <x:v>RMB_PER_SHARE</x:v>
      </x:c>
      <x:c r="E39" s="43" t="n">
        <x:v>5.83526322</x:v>
      </x:c>
      <x:c r="F39" s="43" t="n">
        <x:v>2026</x:v>
      </x:c>
      <x:c r="G39" s="39"/>
      <x:c r="H39" s="39"/>
    </x:row>
    <x:row r="40">
      <x:c r="A40" s="43" t="str">
        <x:v>IS_CREDIT_IMPAIRMENT</x:v>
      </x:c>
      <x:c r="B40" s="43" t="str">
        <x:v>H3B_ATTEMPT005</x:v>
      </x:c>
      <x:c r="C40" s="43" t="str">
        <x:v>BASE</x:v>
      </x:c>
      <x:c r="D40" s="43" t="str">
        <x:v>RMB_MILLION</x:v>
      </x:c>
      <x:c r="E40" s="43" t="n">
        <x:v>-378.88481436</x:v>
      </x:c>
      <x:c r="F40" s="43" t="n">
        <x:v>2026</x:v>
      </x:c>
      <x:c r="G40" s="39"/>
      <x:c r="H40" s="39"/>
    </x:row>
    <x:row r="41">
      <x:c r="A41" s="43" t="str">
        <x:v>IS_DILUTED_EPS</x:v>
      </x:c>
      <x:c r="B41" s="43" t="str">
        <x:v>H3B_ATTEMPT005</x:v>
      </x:c>
      <x:c r="C41" s="43" t="str">
        <x:v>BASE</x:v>
      </x:c>
      <x:c r="D41" s="43" t="str">
        <x:v>RMB_PER_SHARE</x:v>
      </x:c>
      <x:c r="E41" s="43" t="n">
        <x:v>5.83526322</x:v>
      </x:c>
      <x:c r="F41" s="43" t="n">
        <x:v>2026</x:v>
      </x:c>
      <x:c r="G41" s="39"/>
      <x:c r="H41" s="39"/>
    </x:row>
    <x:row r="42">
      <x:c r="A42" s="43" t="str">
        <x:v>IS_FAIR_VALUE_CHANGE</x:v>
      </x:c>
      <x:c r="B42" s="43" t="str">
        <x:v>H3B_ATTEMPT005</x:v>
      </x:c>
      <x:c r="C42" s="43" t="str">
        <x:v>BASE</x:v>
      </x:c>
      <x:c r="D42" s="43" t="str">
        <x:v>RMB_MILLION</x:v>
      </x:c>
      <x:c r="E42" s="43" t="n">
        <x:v>832.97804078</x:v>
      </x:c>
      <x:c r="F42" s="43" t="n">
        <x:v>2026</x:v>
      </x:c>
      <x:c r="G42" s="39"/>
      <x:c r="H42" s="39"/>
    </x:row>
    <x:row r="43">
      <x:c r="A43" s="43" t="str">
        <x:v>IS_FEE_COMMISSION_EXPENSE</x:v>
      </x:c>
      <x:c r="B43" s="43" t="str">
        <x:v>H3B_ATTEMPT005</x:v>
      </x:c>
      <x:c r="C43" s="43" t="str">
        <x:v>BASE</x:v>
      </x:c>
      <x:c r="D43" s="43" t="str">
        <x:v>RMB_MILLION</x:v>
      </x:c>
      <x:c r="E43" s="43" t="n">
        <x:v>-1.7482405</x:v>
      </x:c>
      <x:c r="F43" s="43" t="n">
        <x:v>2026</x:v>
      </x:c>
      <x:c r="G43" s="39"/>
      <x:c r="H43" s="39"/>
    </x:row>
    <x:row r="44">
      <x:c r="A44" s="43" t="str">
        <x:v>IS_FEE_COMMISSION_INCOME</x:v>
      </x:c>
      <x:c r="B44" s="43" t="str">
        <x:v>H3B_ATTEMPT005</x:v>
      </x:c>
      <x:c r="C44" s="43" t="str">
        <x:v>BASE</x:v>
      </x:c>
      <x:c r="D44" s="43" t="str">
        <x:v>RMB_MILLION</x:v>
      </x:c>
      <x:c r="E44" s="43" t="n">
        <x:v>0.54086856</x:v>
      </x:c>
      <x:c r="F44" s="43" t="n">
        <x:v>2026</x:v>
      </x:c>
      <x:c r="G44" s="39"/>
      <x:c r="H44" s="39"/>
    </x:row>
    <x:row r="45">
      <x:c r="A45" s="43" t="str">
        <x:v>IS_FINANCE_INTEREST_INCOME</x:v>
      </x:c>
      <x:c r="B45" s="43" t="str">
        <x:v>H3B_ATTEMPT005</x:v>
      </x:c>
      <x:c r="C45" s="43" t="str">
        <x:v>BASE</x:v>
      </x:c>
      <x:c r="D45" s="43" t="str">
        <x:v>RMB_MILLION</x:v>
      </x:c>
      <x:c r="E45" s="43" t="n">
        <x:v>2491.57146669</x:v>
      </x:c>
      <x:c r="F45" s="43" t="n">
        <x:v>2026</x:v>
      </x:c>
      <x:c r="G45" s="39"/>
      <x:c r="H45" s="39"/>
    </x:row>
    <x:row r="46">
      <x:c r="A46" s="43" t="str">
        <x:v>IS_FINANCE_RESULT</x:v>
      </x:c>
      <x:c r="B46" s="43" t="str">
        <x:v>H3B_ATTEMPT005</x:v>
      </x:c>
      <x:c r="C46" s="43" t="str">
        <x:v>BASE</x:v>
      </x:c>
      <x:c r="D46" s="43" t="str">
        <x:v>RMB_MILLION</x:v>
      </x:c>
      <x:c r="E46" s="43" t="n">
        <x:v>-561.34831436</x:v>
      </x:c>
      <x:c r="F46" s="43" t="n">
        <x:v>2026</x:v>
      </x:c>
      <x:c r="G46" s="39"/>
      <x:c r="H46" s="39"/>
    </x:row>
    <x:row r="47">
      <x:c r="A47" s="43" t="str">
        <x:v>IS_FINANCIAL_BUSINESS_INTEREST_COST</x:v>
      </x:c>
      <x:c r="B47" s="43" t="str">
        <x:v>H3B_ATTEMPT005</x:v>
      </x:c>
      <x:c r="C47" s="43" t="str">
        <x:v>BASE</x:v>
      </x:c>
      <x:c r="D47" s="43" t="str">
        <x:v>RMB_MILLION</x:v>
      </x:c>
      <x:c r="E47" s="43" t="n">
        <x:v>-0.29279302</x:v>
      </x:c>
      <x:c r="F47" s="43" t="n">
        <x:v>2026</x:v>
      </x:c>
      <x:c r="G47" s="39"/>
      <x:c r="H47" s="39"/>
    </x:row>
    <x:row r="48">
      <x:c r="A48" s="43" t="str">
        <x:v>IS_FINANCIAL_BUSINESS_INTEREST_INCOME</x:v>
      </x:c>
      <x:c r="B48" s="43" t="str">
        <x:v>H3B_ATTEMPT005</x:v>
      </x:c>
      <x:c r="C48" s="43" t="str">
        <x:v>BASE</x:v>
      </x:c>
      <x:c r="D48" s="43" t="str">
        <x:v>RMB_MILLION</x:v>
      </x:c>
      <x:c r="E48" s="43" t="n">
        <x:v>2182.81774318</x:v>
      </x:c>
      <x:c r="F48" s="43" t="n">
        <x:v>2026</x:v>
      </x:c>
      <x:c r="G48" s="39"/>
      <x:c r="H48" s="39"/>
    </x:row>
    <x:row r="49">
      <x:c r="A49" s="43" t="str">
        <x:v>IS_FINANCING_INTEREST_EXPENSE</x:v>
      </x:c>
      <x:c r="B49" s="43" t="str">
        <x:v>H3B_ATTEMPT005</x:v>
      </x:c>
      <x:c r="C49" s="43" t="str">
        <x:v>BASE</x:v>
      </x:c>
      <x:c r="D49" s="43" t="str">
        <x:v>RMB_MILLION</x:v>
      </x:c>
      <x:c r="E49" s="43" t="n">
        <x:v>-3052.62698803</x:v>
      </x:c>
      <x:c r="F49" s="43" t="n">
        <x:v>2026</x:v>
      </x:c>
      <x:c r="G49" s="39"/>
      <x:c r="H49" s="39"/>
    </x:row>
    <x:row r="50">
      <x:c r="A50" s="43" t="str">
        <x:v>IS_INCOME_TAX</x:v>
      </x:c>
      <x:c r="B50" s="43" t="str">
        <x:v>H3B_ATTEMPT005</x:v>
      </x:c>
      <x:c r="C50" s="43" t="str">
        <x:v>BASE</x:v>
      </x:c>
      <x:c r="D50" s="43" t="str">
        <x:v>RMB_MILLION</x:v>
      </x:c>
      <x:c r="E50" s="43" t="n">
        <x:v>-7878.31807664</x:v>
      </x:c>
      <x:c r="F50" s="43" t="n">
        <x:v>2026</x:v>
      </x:c>
      <x:c r="G50" s="39"/>
      <x:c r="H50" s="39"/>
    </x:row>
    <x:row r="51">
      <x:c r="A51" s="43" t="str">
        <x:v>IS_INVESTMENT_INCOME</x:v>
      </x:c>
      <x:c r="B51" s="43" t="str">
        <x:v>H3B_ATTEMPT005</x:v>
      </x:c>
      <x:c r="C51" s="43" t="str">
        <x:v>BASE</x:v>
      </x:c>
      <x:c r="D51" s="43" t="str">
        <x:v>RMB_MILLION</x:v>
      </x:c>
      <x:c r="E51" s="43" t="n">
        <x:v>1804.30876859</x:v>
      </x:c>
      <x:c r="F51" s="43" t="n">
        <x:v>2026</x:v>
      </x:c>
      <x:c r="G51" s="39"/>
      <x:c r="H51" s="39"/>
    </x:row>
    <x:row r="52">
      <x:c r="A52" s="43" t="str">
        <x:v>IS_NCI_PROFIT</x:v>
      </x:c>
      <x:c r="B52" s="43" t="str">
        <x:v>H3B_ATTEMPT005</x:v>
      </x:c>
      <x:c r="C52" s="43" t="str">
        <x:v>BASE</x:v>
      </x:c>
      <x:c r="D52" s="43" t="str">
        <x:v>RMB_MILLION</x:v>
      </x:c>
      <x:c r="E52" s="43" t="n">
        <x:v>564.97803522</x:v>
      </x:c>
      <x:c r="F52" s="43" t="n">
        <x:v>2026</x:v>
      </x:c>
      <x:c r="G52" s="39"/>
      <x:c r="H52" s="39"/>
    </x:row>
    <x:row r="53">
      <x:c r="A53" s="43" t="str">
        <x:v>IS_NET_PROFIT</x:v>
      </x:c>
      <x:c r="B53" s="43" t="str">
        <x:v>H3B_ATTEMPT005</x:v>
      </x:c>
      <x:c r="C53" s="43" t="str">
        <x:v>BASE</x:v>
      </x:c>
      <x:c r="D53" s="43" t="str">
        <x:v>RMB_MILLION</x:v>
      </x:c>
      <x:c r="E53" s="43" t="n">
        <x:v>43760.59372438</x:v>
      </x:c>
      <x:c r="F53" s="43" t="n">
        <x:v>2026</x:v>
      </x:c>
      <x:c r="G53" s="39"/>
      <x:c r="H53" s="39"/>
    </x:row>
    <x:row r="54">
      <x:c r="A54" s="43" t="str">
        <x:v>IS_OPERATING_COST</x:v>
      </x:c>
      <x:c r="B54" s="43" t="str">
        <x:v>H3B_ATTEMPT005</x:v>
      </x:c>
      <x:c r="C54" s="43" t="str">
        <x:v>BASE</x:v>
      </x:c>
      <x:c r="D54" s="43" t="str">
        <x:v>RMB_MILLION</x:v>
      </x:c>
      <x:c r="E54" s="43" t="n">
        <x:v>-361271.43507992</x:v>
      </x:c>
      <x:c r="F54" s="43" t="n">
        <x:v>2026</x:v>
      </x:c>
      <x:c r="G54" s="39"/>
      <x:c r="H54" s="39"/>
    </x:row>
    <x:row r="55">
      <x:c r="A55" s="43" t="str">
        <x:v>IS_OPERATING_PROFIT</x:v>
      </x:c>
      <x:c r="B55" s="43" t="str">
        <x:v>H3B_ATTEMPT005</x:v>
      </x:c>
      <x:c r="C55" s="43" t="str">
        <x:v>BASE</x:v>
      </x:c>
      <x:c r="D55" s="43" t="str">
        <x:v>RMB_MILLION</x:v>
      </x:c>
      <x:c r="E55" s="43" t="n">
        <x:v>51638.91180102</x:v>
      </x:c>
      <x:c r="F55" s="43" t="n">
        <x:v>2026</x:v>
      </x:c>
      <x:c r="G55" s="39"/>
      <x:c r="H55" s="39"/>
    </x:row>
    <x:row r="56">
      <x:c r="A56" s="43" t="str">
        <x:v>IS_OPERATING_REVENUE</x:v>
      </x:c>
      <x:c r="B56" s="43" t="str">
        <x:v>H3B_ATTEMPT005</x:v>
      </x:c>
      <x:c r="C56" s="43" t="str">
        <x:v>BASE</x:v>
      </x:c>
      <x:c r="D56" s="43" t="str">
        <x:v>RMB_MILLION</x:v>
      </x:c>
      <x:c r="E56" s="43" t="n">
        <x:v>485985.02041372</x:v>
      </x:c>
      <x:c r="F56" s="43" t="n">
        <x:v>2026</x:v>
      </x:c>
      <x:c r="G56" s="39"/>
      <x:c r="H56" s="39"/>
    </x:row>
    <x:row r="57">
      <x:c r="A57" s="43" t="str">
        <x:v>IS_OTHER_INCOME</x:v>
      </x:c>
      <x:c r="B57" s="43" t="str">
        <x:v>H3B_ATTEMPT005</x:v>
      </x:c>
      <x:c r="C57" s="43" t="str">
        <x:v>BASE</x:v>
      </x:c>
      <x:c r="D57" s="43" t="str">
        <x:v>RMB_MILLION</x:v>
      </x:c>
      <x:c r="E57" s="43" t="n">
        <x:v>2686.74388611</x:v>
      </x:c>
      <x:c r="F57" s="43" t="n">
        <x:v>2026</x:v>
      </x:c>
      <x:c r="G57" s="39"/>
      <x:c r="H57" s="39"/>
    </x:row>
    <x:row r="58">
      <x:c r="A58" s="43" t="str">
        <x:v>IS_PBT</x:v>
      </x:c>
      <x:c r="B58" s="43" t="str">
        <x:v>H3B_ATTEMPT005</x:v>
      </x:c>
      <x:c r="C58" s="43" t="str">
        <x:v>BASE</x:v>
      </x:c>
      <x:c r="D58" s="43" t="str">
        <x:v>RMB_MILLION</x:v>
      </x:c>
      <x:c r="E58" s="43" t="n">
        <x:v>51638.91180102</x:v>
      </x:c>
      <x:c r="F58" s="43" t="n">
        <x:v>2026</x:v>
      </x:c>
      <x:c r="G58" s="39"/>
      <x:c r="H58" s="39"/>
    </x:row>
    <x:row r="59">
      <x:c r="A59" s="43" t="str">
        <x:v>IS_RD_EXPENSE</x:v>
      </x:c>
      <x:c r="B59" s="43" t="str">
        <x:v>H3B_ATTEMPT005</x:v>
      </x:c>
      <x:c r="C59" s="43" t="str">
        <x:v>BASE</x:v>
      </x:c>
      <x:c r="D59" s="43" t="str">
        <x:v>RMB_MILLION</x:v>
      </x:c>
      <x:c r="E59" s="43" t="n">
        <x:v>-16913.59859711</x:v>
      </x:c>
      <x:c r="F59" s="43" t="n">
        <x:v>2026</x:v>
      </x:c>
      <x:c r="G59" s="39"/>
      <x:c r="H59" s="39"/>
    </x:row>
    <x:row r="60">
      <x:c r="A60" s="43" t="str">
        <x:v>IS_SELLING_EXPENSE</x:v>
      </x:c>
      <x:c r="B60" s="43" t="str">
        <x:v>H3B_ATTEMPT005</x:v>
      </x:c>
      <x:c r="C60" s="43" t="str">
        <x:v>BASE</x:v>
      </x:c>
      <x:c r="D60" s="43" t="str">
        <x:v>RMB_MILLION</x:v>
      </x:c>
      <x:c r="E60" s="43" t="n">
        <x:v>-43855.36575674</x:v>
      </x:c>
      <x:c r="F60" s="43" t="n">
        <x:v>2026</x:v>
      </x:c>
      <x:c r="G60" s="39"/>
      <x:c r="H60" s="39"/>
    </x:row>
    <x:row r="61">
      <x:c r="A61" s="43" t="str">
        <x:v>IS_TAXES_SURCHARGES</x:v>
      </x:c>
      <x:c r="B61" s="43" t="str">
        <x:v>H3B_ATTEMPT005</x:v>
      </x:c>
      <x:c r="C61" s="43" t="str">
        <x:v>BASE</x:v>
      </x:c>
      <x:c r="D61" s="43" t="str">
        <x:v>RMB_MILLION</x:v>
      </x:c>
      <x:c r="E61" s="43" t="n">
        <x:v>-2360.75178764</x:v>
      </x:c>
      <x:c r="F61" s="43" t="n">
        <x:v>2026</x:v>
      </x:c>
      <x:c r="G61" s="39"/>
      <x:c r="H61" s="39"/>
    </x:row>
    <x:row r="62">
      <x:c r="A62" s="43" t="str">
        <x:v>IS_TOTAL_REVENUE</x:v>
      </x:c>
      <x:c r="B62" s="43" t="str">
        <x:v>H3B_ATTEMPT005</x:v>
      </x:c>
      <x:c r="C62" s="43" t="str">
        <x:v>BASE</x:v>
      </x:c>
      <x:c r="D62" s="43" t="str">
        <x:v>RMB_MILLION</x:v>
      </x:c>
      <x:c r="E62" s="43" t="n">
        <x:v>488168.37902546</x:v>
      </x:c>
      <x:c r="F62" s="43" t="n">
        <x:v>2026</x:v>
      </x:c>
      <x:c r="G62" s="39"/>
      <x:c r="H62" s="39"/>
    </x:row>
    <x:row r="63">
      <x:c r="A63" s="43" t="str">
        <x:v>IS_ADJUSTED_ATTRIBUTABLE_NI</x:v>
      </x:c>
      <x:c r="B63" s="43" t="str">
        <x:v>H3B_ATTEMPT005</x:v>
      </x:c>
      <x:c r="C63" s="43" t="str">
        <x:v>BASE</x:v>
      </x:c>
      <x:c r="D63" s="43" t="str">
        <x:v>RMB_MILLION</x:v>
      </x:c>
      <x:c r="E63" s="43" t="n">
        <x:v>42472.5095708</x:v>
      </x:c>
      <x:c r="F63" s="43" t="n">
        <x:v>2027</x:v>
      </x:c>
      <x:c r="G63" s="39"/>
      <x:c r="H63" s="39"/>
    </x:row>
    <x:row r="64">
      <x:c r="A64" s="43" t="str">
        <x:v>IS_ADMIN_EXPENSE</x:v>
      </x:c>
      <x:c r="B64" s="43" t="str">
        <x:v>H3B_ATTEMPT005</x:v>
      </x:c>
      <x:c r="C64" s="43" t="str">
        <x:v>BASE</x:v>
      </x:c>
      <x:c r="D64" s="43" t="str">
        <x:v>RMB_MILLION</x:v>
      </x:c>
      <x:c r="E64" s="43" t="n">
        <x:v>-16874.70476462</x:v>
      </x:c>
      <x:c r="F64" s="43" t="n">
        <x:v>2027</x:v>
      </x:c>
      <x:c r="G64" s="39"/>
      <x:c r="H64" s="39"/>
    </x:row>
    <x:row r="65">
      <x:c r="A65" s="43" t="str">
        <x:v>IS_ASSET_DISPOSAL</x:v>
      </x:c>
      <x:c r="B65" s="43" t="str">
        <x:v>H3B_ATTEMPT005</x:v>
      </x:c>
      <x:c r="C65" s="43" t="str">
        <x:v>BASE</x:v>
      </x:c>
      <x:c r="D65" s="43" t="str">
        <x:v>RMB_MILLION</x:v>
      </x:c>
      <x:c r="E65" s="43" t="n">
        <x:v>-86.7702544</x:v>
      </x:c>
      <x:c r="F65" s="43" t="n">
        <x:v>2027</x:v>
      </x:c>
      <x:c r="G65" s="39"/>
      <x:c r="H65" s="39"/>
    </x:row>
    <x:row r="66">
      <x:c r="A66" s="43" t="str">
        <x:v>IS_ASSET_IMPAIRMENT</x:v>
      </x:c>
      <x:c r="B66" s="43" t="str">
        <x:v>H3B_ATTEMPT005</x:v>
      </x:c>
      <x:c r="C66" s="43" t="str">
        <x:v>BASE</x:v>
      </x:c>
      <x:c r="D66" s="43" t="str">
        <x:v>RMB_MILLION</x:v>
      </x:c>
      <x:c r="E66" s="43" t="n">
        <x:v>-1319.9398787</x:v>
      </x:c>
      <x:c r="F66" s="43" t="n">
        <x:v>2027</x:v>
      </x:c>
      <x:c r="G66" s="39"/>
      <x:c r="H66" s="39"/>
    </x:row>
    <x:row r="67">
      <x:c r="A67" s="43" t="str">
        <x:v>IS_ATTRIBUTABLE_NI</x:v>
      </x:c>
      <x:c r="B67" s="43" t="str">
        <x:v>H3B_ATTEMPT005</x:v>
      </x:c>
      <x:c r="C67" s="43" t="str">
        <x:v>BASE</x:v>
      </x:c>
      <x:c r="D67" s="43" t="str">
        <x:v>RMB_MILLION</x:v>
      </x:c>
      <x:c r="E67" s="43" t="n">
        <x:v>45228.90810951</x:v>
      </x:c>
      <x:c r="F67" s="43" t="n">
        <x:v>2027</x:v>
      </x:c>
      <x:c r="G67" s="39"/>
      <x:c r="H67" s="39"/>
    </x:row>
    <x:row r="68">
      <x:c r="A68" s="43" t="str">
        <x:v>IS_BASIC_EPS</x:v>
      </x:c>
      <x:c r="B68" s="43" t="str">
        <x:v>H3B_ATTEMPT005</x:v>
      </x:c>
      <x:c r="C68" s="43" t="str">
        <x:v>BASE</x:v>
      </x:c>
      <x:c r="D68" s="43" t="str">
        <x:v>RMB_PER_SHARE</x:v>
      </x:c>
      <x:c r="E68" s="43" t="n">
        <x:v>6.10993916</x:v>
      </x:c>
      <x:c r="F68" s="43" t="n">
        <x:v>2027</x:v>
      </x:c>
      <x:c r="G68" s="39"/>
      <x:c r="H68" s="39"/>
    </x:row>
    <x:row r="69">
      <x:c r="A69" s="43" t="str">
        <x:v>IS_CREDIT_IMPAIRMENT</x:v>
      </x:c>
      <x:c r="B69" s="43" t="str">
        <x:v>H3B_ATTEMPT005</x:v>
      </x:c>
      <x:c r="C69" s="43" t="str">
        <x:v>BASE</x:v>
      </x:c>
      <x:c r="D69" s="43" t="str">
        <x:v>RMB_MILLION</x:v>
      </x:c>
      <x:c r="E69" s="43" t="n">
        <x:v>-406.1620374</x:v>
      </x:c>
      <x:c r="F69" s="43" t="n">
        <x:v>2027</x:v>
      </x:c>
      <x:c r="G69" s="39"/>
      <x:c r="H69" s="39"/>
    </x:row>
    <x:row r="70">
      <x:c r="A70" s="43" t="str">
        <x:v>IS_DILUTED_EPS</x:v>
      </x:c>
      <x:c r="B70" s="43" t="str">
        <x:v>H3B_ATTEMPT005</x:v>
      </x:c>
      <x:c r="C70" s="43" t="str">
        <x:v>BASE</x:v>
      </x:c>
      <x:c r="D70" s="43" t="str">
        <x:v>RMB_PER_SHARE</x:v>
      </x:c>
      <x:c r="E70" s="43" t="n">
        <x:v>6.10993916</x:v>
      </x:c>
      <x:c r="F70" s="43" t="n">
        <x:v>2027</x:v>
      </x:c>
      <x:c r="G70" s="39"/>
      <x:c r="H70" s="39"/>
    </x:row>
    <x:row r="71">
      <x:c r="A71" s="43" t="str">
        <x:v>IS_FAIR_VALUE_CHANGE</x:v>
      </x:c>
      <x:c r="B71" s="43" t="str">
        <x:v>H3B_ATTEMPT005</x:v>
      </x:c>
      <x:c r="C71" s="43" t="str">
        <x:v>BASE</x:v>
      </x:c>
      <x:c r="D71" s="43" t="str">
        <x:v>RMB_MILLION</x:v>
      </x:c>
      <x:c r="E71" s="43" t="n">
        <x:v>892.94699955</x:v>
      </x:c>
      <x:c r="F71" s="43" t="n">
        <x:v>2027</x:v>
      </x:c>
      <x:c r="G71" s="39"/>
      <x:c r="H71" s="39"/>
    </x:row>
    <x:row r="72">
      <x:c r="A72" s="43" t="str">
        <x:v>IS_FEE_COMMISSION_EXPENSE</x:v>
      </x:c>
      <x:c r="B72" s="43" t="str">
        <x:v>H3B_ATTEMPT005</x:v>
      </x:c>
      <x:c r="C72" s="43" t="str">
        <x:v>BASE</x:v>
      </x:c>
      <x:c r="D72" s="43" t="str">
        <x:v>RMB_MILLION</x:v>
      </x:c>
      <x:c r="E72" s="43" t="n">
        <x:v>-1.87410236</x:v>
      </x:c>
      <x:c r="F72" s="43" t="n">
        <x:v>2027</x:v>
      </x:c>
      <x:c r="G72" s="39"/>
      <x:c r="H72" s="39"/>
    </x:row>
    <x:row r="73">
      <x:c r="A73" s="43" t="str">
        <x:v>IS_FEE_COMMISSION_INCOME</x:v>
      </x:c>
      <x:c r="B73" s="43" t="str">
        <x:v>H3B_ATTEMPT005</x:v>
      </x:c>
      <x:c r="C73" s="43" t="str">
        <x:v>BASE</x:v>
      </x:c>
      <x:c r="D73" s="43" t="str">
        <x:v>RMB_MILLION</x:v>
      </x:c>
      <x:c r="E73" s="43" t="n">
        <x:v>0.57980755</x:v>
      </x:c>
      <x:c r="F73" s="43" t="n">
        <x:v>2027</x:v>
      </x:c>
      <x:c r="G73" s="39"/>
      <x:c r="H73" s="39"/>
    </x:row>
    <x:row r="74">
      <x:c r="A74" s="43" t="str">
        <x:v>IS_FINANCE_INTEREST_INCOME</x:v>
      </x:c>
      <x:c r="B74" s="43" t="str">
        <x:v>H3B_ATTEMPT005</x:v>
      </x:c>
      <x:c r="C74" s="43" t="str">
        <x:v>BASE</x:v>
      </x:c>
      <x:c r="D74" s="43" t="str">
        <x:v>RMB_MILLION</x:v>
      </x:c>
      <x:c r="E74" s="43" t="n">
        <x:v>3012.02314044</x:v>
      </x:c>
      <x:c r="F74" s="43" t="n">
        <x:v>2027</x:v>
      </x:c>
      <x:c r="G74" s="39"/>
      <x:c r="H74" s="39"/>
    </x:row>
    <x:row r="75">
      <x:c r="A75" s="43" t="str">
        <x:v>IS_FINANCE_RESULT</x:v>
      </x:c>
      <x:c r="B75" s="43" t="str">
        <x:v>H3B_ATTEMPT005</x:v>
      </x:c>
      <x:c r="C75" s="43" t="str">
        <x:v>BASE</x:v>
      </x:c>
      <x:c r="D75" s="43" t="str">
        <x:v>RMB_MILLION</x:v>
      </x:c>
      <x:c r="E75" s="43" t="n">
        <x:v>-221.43277288</x:v>
      </x:c>
      <x:c r="F75" s="43" t="n">
        <x:v>2027</x:v>
      </x:c>
      <x:c r="G75" s="39"/>
      <x:c r="H75" s="39"/>
    </x:row>
    <x:row r="76">
      <x:c r="A76" s="43" t="str">
        <x:v>IS_FINANCIAL_BUSINESS_INTEREST_COST</x:v>
      </x:c>
      <x:c r="B76" s="43" t="str">
        <x:v>H3B_ATTEMPT005</x:v>
      </x:c>
      <x:c r="C76" s="43" t="str">
        <x:v>BASE</x:v>
      </x:c>
      <x:c r="D76" s="43" t="str">
        <x:v>RMB_MILLION</x:v>
      </x:c>
      <x:c r="E76" s="43" t="n">
        <x:v>-0.3138722</x:v>
      </x:c>
      <x:c r="F76" s="43" t="n">
        <x:v>2027</x:v>
      </x:c>
      <x:c r="G76" s="39"/>
      <x:c r="H76" s="39"/>
    </x:row>
    <x:row r="77">
      <x:c r="A77" s="43" t="str">
        <x:v>IS_FINANCIAL_BUSINESS_INTEREST_INCOME</x:v>
      </x:c>
      <x:c r="B77" s="43" t="str">
        <x:v>H3B_ATTEMPT005</x:v>
      </x:c>
      <x:c r="C77" s="43" t="str">
        <x:v>BASE</x:v>
      </x:c>
      <x:c r="D77" s="43" t="str">
        <x:v>RMB_MILLION</x:v>
      </x:c>
      <x:c r="E77" s="43" t="n">
        <x:v>2339.96631232</x:v>
      </x:c>
      <x:c r="F77" s="43" t="n">
        <x:v>2027</x:v>
      </x:c>
      <x:c r="G77" s="39"/>
      <x:c r="H77" s="39"/>
    </x:row>
    <x:row r="78">
      <x:c r="A78" s="43" t="str">
        <x:v>IS_FINANCING_INTEREST_EXPENSE</x:v>
      </x:c>
      <x:c r="B78" s="43" t="str">
        <x:v>H3B_ATTEMPT005</x:v>
      </x:c>
      <x:c r="C78" s="43" t="str">
        <x:v>BASE</x:v>
      </x:c>
      <x:c r="D78" s="43" t="str">
        <x:v>RMB_MILLION</x:v>
      </x:c>
      <x:c r="E78" s="43" t="n">
        <x:v>-3233.14204112</x:v>
      </x:c>
      <x:c r="F78" s="43" t="n">
        <x:v>2027</x:v>
      </x:c>
      <x:c r="G78" s="39"/>
      <x:c r="H78" s="39"/>
    </x:row>
    <x:row r="79">
      <x:c r="A79" s="43" t="str">
        <x:v>IS_INCOME_TAX</x:v>
      </x:c>
      <x:c r="B79" s="43" t="str">
        <x:v>H3B_ATTEMPT005</x:v>
      </x:c>
      <x:c r="C79" s="43" t="str">
        <x:v>BASE</x:v>
      </x:c>
      <x:c r="D79" s="43" t="str">
        <x:v>RMB_MILLION</x:v>
      </x:c>
      <x:c r="E79" s="43" t="n">
        <x:v>-8287.38922343</x:v>
      </x:c>
      <x:c r="F79" s="43" t="n">
        <x:v>2027</x:v>
      </x:c>
      <x:c r="G79" s="39"/>
      <x:c r="H79" s="39"/>
    </x:row>
    <x:row r="80">
      <x:c r="A80" s="43" t="str">
        <x:v>IS_INVESTMENT_INCOME</x:v>
      </x:c>
      <x:c r="B80" s="43" t="str">
        <x:v>H3B_ATTEMPT005</x:v>
      </x:c>
      <x:c r="C80" s="43" t="str">
        <x:v>BASE</x:v>
      </x:c>
      <x:c r="D80" s="43" t="str">
        <x:v>RMB_MILLION</x:v>
      </x:c>
      <x:c r="E80" s="43" t="n">
        <x:v>1934.20717268</x:v>
      </x:c>
      <x:c r="F80" s="43" t="n">
        <x:v>2027</x:v>
      </x:c>
      <x:c r="G80" s="39"/>
      <x:c r="H80" s="39"/>
    </x:row>
    <x:row r="81">
      <x:c r="A81" s="43" t="str">
        <x:v>IS_NCI_PROFIT</x:v>
      </x:c>
      <x:c r="B81" s="43" t="str">
        <x:v>H3B_ATTEMPT005</x:v>
      </x:c>
      <x:c r="C81" s="43" t="str">
        <x:v>BASE</x:v>
      </x:c>
      <x:c r="D81" s="43" t="str">
        <x:v>RMB_MILLION</x:v>
      </x:c>
      <x:c r="E81" s="43" t="n">
        <x:v>591.57252956</x:v>
      </x:c>
      <x:c r="F81" s="43" t="n">
        <x:v>2027</x:v>
      </x:c>
      <x:c r="G81" s="39"/>
      <x:c r="H81" s="39"/>
    </x:row>
    <x:row r="82">
      <x:c r="A82" s="43" t="str">
        <x:v>IS_NET_PROFIT</x:v>
      </x:c>
      <x:c r="B82" s="43" t="str">
        <x:v>H3B_ATTEMPT005</x:v>
      </x:c>
      <x:c r="C82" s="43" t="str">
        <x:v>BASE</x:v>
      </x:c>
      <x:c r="D82" s="43" t="str">
        <x:v>RMB_MILLION</x:v>
      </x:c>
      <x:c r="E82" s="43" t="n">
        <x:v>45820.48063907</x:v>
      </x:c>
      <x:c r="F82" s="43" t="n">
        <x:v>2027</x:v>
      </x:c>
      <x:c r="G82" s="39"/>
      <x:c r="H82" s="39"/>
    </x:row>
    <x:row r="83">
      <x:c r="A83" s="43" t="str">
        <x:v>IS_OPERATING_COST</x:v>
      </x:c>
      <x:c r="B83" s="43" t="str">
        <x:v>H3B_ATTEMPT005</x:v>
      </x:c>
      <x:c r="C83" s="43" t="str">
        <x:v>BASE</x:v>
      </x:c>
      <x:c r="D83" s="43" t="str">
        <x:v>RMB_MILLION</x:v>
      </x:c>
      <x:c r="E83" s="43" t="n">
        <x:v>-387114.87966854</x:v>
      </x:c>
      <x:c r="F83" s="43" t="n">
        <x:v>2027</x:v>
      </x:c>
      <x:c r="G83" s="39"/>
      <x:c r="H83" s="39"/>
    </x:row>
    <x:row r="84">
      <x:c r="A84" s="43" t="str">
        <x:v>IS_OPERATING_PROFIT</x:v>
      </x:c>
      <x:c r="B84" s="43" t="str">
        <x:v>H3B_ATTEMPT005</x:v>
      </x:c>
      <x:c r="C84" s="43" t="str">
        <x:v>BASE</x:v>
      </x:c>
      <x:c r="D84" s="43" t="str">
        <x:v>RMB_MILLION</x:v>
      </x:c>
      <x:c r="E84" s="43" t="n">
        <x:v>54107.8698625</x:v>
      </x:c>
      <x:c r="F84" s="43" t="n">
        <x:v>2027</x:v>
      </x:c>
      <x:c r="G84" s="39"/>
      <x:c r="H84" s="39"/>
    </x:row>
    <x:row r="85">
      <x:c r="A85" s="43" t="str">
        <x:v>IS_OPERATING_REVENUE</x:v>
      </x:c>
      <x:c r="B85" s="43" t="str">
        <x:v>H3B_ATTEMPT005</x:v>
      </x:c>
      <x:c r="C85" s="43" t="str">
        <x:v>BASE</x:v>
      </x:c>
      <x:c r="D85" s="43" t="str">
        <x:v>RMB_MILLION</x:v>
      </x:c>
      <x:c r="E85" s="43" t="n">
        <x:v>520972.7562517</x:v>
      </x:c>
      <x:c r="F85" s="43" t="n">
        <x:v>2027</x:v>
      </x:c>
      <x:c r="G85" s="39"/>
      <x:c r="H85" s="39"/>
    </x:row>
    <x:row r="86">
      <x:c r="A86" s="43" t="str">
        <x:v>IS_OTHER_INCOME</x:v>
      </x:c>
      <x:c r="B86" s="43" t="str">
        <x:v>H3B_ATTEMPT005</x:v>
      </x:c>
      <x:c r="C86" s="43" t="str">
        <x:v>BASE</x:v>
      </x:c>
      <x:c r="D86" s="43" t="str">
        <x:v>RMB_MILLION</x:v>
      </x:c>
      <x:c r="E86" s="43" t="n">
        <x:v>2880.1718343</x:v>
      </x:c>
      <x:c r="F86" s="43" t="n">
        <x:v>2027</x:v>
      </x:c>
      <x:c r="G86" s="39"/>
      <x:c r="H86" s="39"/>
    </x:row>
    <x:row r="87">
      <x:c r="A87" s="43" t="str">
        <x:v>IS_PBT</x:v>
      </x:c>
      <x:c r="B87" s="43" t="str">
        <x:v>H3B_ATTEMPT005</x:v>
      </x:c>
      <x:c r="C87" s="43" t="str">
        <x:v>BASE</x:v>
      </x:c>
      <x:c r="D87" s="43" t="str">
        <x:v>RMB_MILLION</x:v>
      </x:c>
      <x:c r="E87" s="43" t="n">
        <x:v>54107.8698625</x:v>
      </x:c>
      <x:c r="F87" s="43" t="n">
        <x:v>2027</x:v>
      </x:c>
      <x:c r="G87" s="39"/>
      <x:c r="H87" s="39"/>
    </x:row>
    <x:row r="88">
      <x:c r="A88" s="43" t="str">
        <x:v>IS_RD_EXPENSE</x:v>
      </x:c>
      <x:c r="B88" s="43" t="str">
        <x:v>H3B_ATTEMPT005</x:v>
      </x:c>
      <x:c r="C88" s="43" t="str">
        <x:v>BASE</x:v>
      </x:c>
      <x:c r="D88" s="43" t="str">
        <x:v>RMB_MILLION</x:v>
      </x:c>
      <x:c r="E88" s="43" t="n">
        <x:v>-18683.24881992</x:v>
      </x:c>
      <x:c r="F88" s="43" t="n">
        <x:v>2027</x:v>
      </x:c>
      <x:c r="G88" s="39"/>
      <x:c r="H88" s="39"/>
    </x:row>
    <x:row r="89">
      <x:c r="A89" s="43" t="str">
        <x:v>IS_SELLING_EXPENSE</x:v>
      </x:c>
      <x:c r="B89" s="43" t="str">
        <x:v>H3B_ATTEMPT005</x:v>
      </x:c>
      <x:c r="C89" s="43" t="str">
        <x:v>BASE</x:v>
      </x:c>
      <x:c r="D89" s="43" t="str">
        <x:v>RMB_MILLION</x:v>
      </x:c>
      <x:c r="E89" s="43" t="n">
        <x:v>-47673.03577516</x:v>
      </x:c>
      <x:c r="F89" s="43" t="n">
        <x:v>2027</x:v>
      </x:c>
      <x:c r="G89" s="39"/>
      <x:c r="H89" s="39"/>
    </x:row>
    <x:row r="90">
      <x:c r="A90" s="43" t="str">
        <x:v>IS_TAXES_SURCHARGES</x:v>
      </x:c>
      <x:c r="B90" s="43" t="str">
        <x:v>H3B_ATTEMPT005</x:v>
      </x:c>
      <x:c r="C90" s="43" t="str">
        <x:v>BASE</x:v>
      </x:c>
      <x:c r="D90" s="43" t="str">
        <x:v>RMB_MILLION</x:v>
      </x:c>
      <x:c r="E90" s="43" t="n">
        <x:v>-2530.71044162</x:v>
      </x:c>
      <x:c r="F90" s="43" t="n">
        <x:v>2027</x:v>
      </x:c>
      <x:c r="G90" s="39"/>
      <x:c r="H90" s="39"/>
    </x:row>
    <x:row r="91">
      <x:c r="A91" s="43" t="str">
        <x:v>IS_TOTAL_REVENUE</x:v>
      </x:c>
      <x:c r="B91" s="43" t="str">
        <x:v>H3B_ATTEMPT005</x:v>
      </x:c>
      <x:c r="C91" s="43" t="str">
        <x:v>BASE</x:v>
      </x:c>
      <x:c r="D91" s="43" t="str">
        <x:v>RMB_MILLION</x:v>
      </x:c>
      <x:c r="E91" s="43" t="n">
        <x:v>523313.30237157</x:v>
      </x:c>
      <x:c r="F91" s="43" t="n">
        <x:v>2027</x:v>
      </x:c>
      <x:c r="G91" s="39"/>
      <x:c r="H91" s="39"/>
    </x:row>
    <x:row r="92">
      <x:c r="A92" s="43" t="str">
        <x:v>IS_ADJUSTED_ATTRIBUTABLE_NI</x:v>
      </x:c>
      <x:c r="B92" s="43" t="str">
        <x:v>H3B_ATTEMPT005</x:v>
      </x:c>
      <x:c r="C92" s="43" t="str">
        <x:v>BASE</x:v>
      </x:c>
      <x:c r="D92" s="43" t="str">
        <x:v>RMB_MILLION</x:v>
      </x:c>
      <x:c r="E92" s="43" t="n">
        <x:v>45134.90257054</x:v>
      </x:c>
      <x:c r="F92" s="43" t="n">
        <x:v>2028</x:v>
      </x:c>
      <x:c r="G92" s="39"/>
      <x:c r="H92" s="39"/>
    </x:row>
    <x:row r="93">
      <x:c r="A93" s="43" t="str">
        <x:v>IS_ADMIN_EXPENSE</x:v>
      </x:c>
      <x:c r="B93" s="43" t="str">
        <x:v>H3B_ATTEMPT005</x:v>
      </x:c>
      <x:c r="C93" s="43" t="str">
        <x:v>BASE</x:v>
      </x:c>
      <x:c r="D93" s="43" t="str">
        <x:v>RMB_MILLION</x:v>
      </x:c>
      <x:c r="E93" s="43" t="n">
        <x:v>-18630.57012657</x:v>
      </x:c>
      <x:c r="F93" s="43" t="n">
        <x:v>2028</x:v>
      </x:c>
      <x:c r="G93" s="39"/>
      <x:c r="H93" s="39"/>
    </x:row>
    <x:row r="94">
      <x:c r="A94" s="43" t="str">
        <x:v>IS_ASSET_DISPOSAL</x:v>
      </x:c>
      <x:c r="B94" s="43" t="str">
        <x:v>H3B_ATTEMPT005</x:v>
      </x:c>
      <x:c r="C94" s="43" t="str">
        <x:v>BASE</x:v>
      </x:c>
      <x:c r="D94" s="43" t="str">
        <x:v>RMB_MILLION</x:v>
      </x:c>
      <x:c r="E94" s="43" t="n">
        <x:v>-93.69696882</x:v>
      </x:c>
      <x:c r="F94" s="43" t="n">
        <x:v>2028</x:v>
      </x:c>
      <x:c r="G94" s="39"/>
      <x:c r="H94" s="39"/>
    </x:row>
    <x:row r="95">
      <x:c r="A95" s="43" t="str">
        <x:v>IS_ASSET_IMPAIRMENT</x:v>
      </x:c>
      <x:c r="B95" s="43" t="str">
        <x:v>H3B_ATTEMPT005</x:v>
      </x:c>
      <x:c r="C95" s="43" t="str">
        <x:v>BASE</x:v>
      </x:c>
      <x:c r="D95" s="43" t="str">
        <x:v>RMB_MILLION</x:v>
      </x:c>
      <x:c r="E95" s="43" t="n">
        <x:v>-1425.30832154</x:v>
      </x:c>
      <x:c r="F95" s="43" t="n">
        <x:v>2028</x:v>
      </x:c>
      <x:c r="G95" s="39"/>
      <x:c r="H95" s="39"/>
    </x:row>
    <x:row r="96">
      <x:c r="A96" s="43" t="str">
        <x:v>IS_ATTRIBUTABLE_NI</x:v>
      </x:c>
      <x:c r="B96" s="43" t="str">
        <x:v>H3B_ATTEMPT005</x:v>
      </x:c>
      <x:c r="C96" s="43" t="str">
        <x:v>BASE</x:v>
      </x:c>
      <x:c r="D96" s="43" t="str">
        <x:v>RMB_MILLION</x:v>
      </x:c>
      <x:c r="E96" s="43" t="n">
        <x:v>48064.08619419</x:v>
      </x:c>
      <x:c r="F96" s="43" t="n">
        <x:v>2028</x:v>
      </x:c>
      <x:c r="G96" s="39"/>
      <x:c r="H96" s="39"/>
    </x:row>
    <x:row r="97">
      <x:c r="A97" s="43" t="str">
        <x:v>IS_BASIC_EPS</x:v>
      </x:c>
      <x:c r="B97" s="43" t="str">
        <x:v>H3B_ATTEMPT005</x:v>
      </x:c>
      <x:c r="C97" s="43" t="str">
        <x:v>BASE</x:v>
      </x:c>
      <x:c r="D97" s="43" t="str">
        <x:v>RMB_PER_SHARE</x:v>
      </x:c>
      <x:c r="E97" s="43" t="n">
        <x:v>6.49294124</x:v>
      </x:c>
      <x:c r="F97" s="43" t="n">
        <x:v>2028</x:v>
      </x:c>
      <x:c r="G97" s="39"/>
      <x:c r="H97" s="39"/>
    </x:row>
    <x:row r="98">
      <x:c r="A98" s="43" t="str">
        <x:v>IS_CREDIT_IMPAIRMENT</x:v>
      </x:c>
      <x:c r="B98" s="43" t="str">
        <x:v>H3B_ATTEMPT005</x:v>
      </x:c>
      <x:c r="C98" s="43" t="str">
        <x:v>BASE</x:v>
      </x:c>
      <x:c r="D98" s="43" t="str">
        <x:v>RMB_MILLION</x:v>
      </x:c>
      <x:c r="E98" s="43" t="n">
        <x:v>-438.58522736</x:v>
      </x:c>
      <x:c r="F98" s="43" t="n">
        <x:v>2028</x:v>
      </x:c>
      <x:c r="G98" s="39"/>
      <x:c r="H98" s="39"/>
    </x:row>
    <x:row r="99">
      <x:c r="A99" s="43" t="str">
        <x:v>IS_DILUTED_EPS</x:v>
      </x:c>
      <x:c r="B99" s="43" t="str">
        <x:v>H3B_ATTEMPT005</x:v>
      </x:c>
      <x:c r="C99" s="43" t="str">
        <x:v>BASE</x:v>
      </x:c>
      <x:c r="D99" s="43" t="str">
        <x:v>RMB_PER_SHARE</x:v>
      </x:c>
      <x:c r="E99" s="43" t="n">
        <x:v>6.49294124</x:v>
      </x:c>
      <x:c r="F99" s="43" t="n">
        <x:v>2028</x:v>
      </x:c>
      <x:c r="G99" s="39"/>
      <x:c r="H99" s="39"/>
    </x:row>
    <x:row r="100">
      <x:c r="A100" s="43" t="str">
        <x:v>IS_FAIR_VALUE_CHANGE</x:v>
      </x:c>
      <x:c r="B100" s="43" t="str">
        <x:v>H3B_ATTEMPT005</x:v>
      </x:c>
      <x:c r="C100" s="43" t="str">
        <x:v>BASE</x:v>
      </x:c>
      <x:c r="D100" s="43" t="str">
        <x:v>RMB_MILLION</x:v>
      </x:c>
      <x:c r="E100" s="43" t="n">
        <x:v>964.22936354</x:v>
      </x:c>
      <x:c r="F100" s="43" t="n">
        <x:v>2028</x:v>
      </x:c>
      <x:c r="G100" s="39"/>
      <x:c r="H100" s="39"/>
    </x:row>
    <x:row r="101">
      <x:c r="A101" s="43" t="str">
        <x:v>IS_FEE_COMMISSION_EXPENSE</x:v>
      </x:c>
      <x:c r="B101" s="43" t="str">
        <x:v>H3B_ATTEMPT005</x:v>
      </x:c>
      <x:c r="C101" s="43" t="str">
        <x:v>BASE</x:v>
      </x:c>
      <x:c r="D101" s="43" t="str">
        <x:v>RMB_MILLION</x:v>
      </x:c>
      <x:c r="E101" s="43" t="n">
        <x:v>-2.0237086</x:v>
      </x:c>
      <x:c r="F101" s="43" t="n">
        <x:v>2028</x:v>
      </x:c>
      <x:c r="G101" s="39"/>
      <x:c r="H101" s="39"/>
    </x:row>
    <x:row r="102">
      <x:c r="A102" s="43" t="str">
        <x:v>IS_FEE_COMMISSION_INCOME</x:v>
      </x:c>
      <x:c r="B102" s="43" t="str">
        <x:v>H3B_ATTEMPT005</x:v>
      </x:c>
      <x:c r="C102" s="43" t="str">
        <x:v>BASE</x:v>
      </x:c>
      <x:c r="D102" s="43" t="str">
        <x:v>RMB_MILLION</x:v>
      </x:c>
      <x:c r="E102" s="43" t="n">
        <x:v>0.62609255</x:v>
      </x:c>
      <x:c r="F102" s="43" t="n">
        <x:v>2028</x:v>
      </x:c>
      <x:c r="G102" s="39"/>
      <x:c r="H102" s="39"/>
    </x:row>
    <x:row r="103">
      <x:c r="A103" s="43" t="str">
        <x:v>IS_FINANCE_INTEREST_INCOME</x:v>
      </x:c>
      <x:c r="B103" s="43" t="str">
        <x:v>H3B_ATTEMPT005</x:v>
      </x:c>
      <x:c r="C103" s="43" t="str">
        <x:v>BASE</x:v>
      </x:c>
      <x:c r="D103" s="43" t="str">
        <x:v>RMB_MILLION</x:v>
      </x:c>
      <x:c r="E103" s="43" t="n">
        <x:v>3160.42326499</x:v>
      </x:c>
      <x:c r="F103" s="43" t="n">
        <x:v>2028</x:v>
      </x:c>
      <x:c r="G103" s="39"/>
      <x:c r="H103" s="39"/>
    </x:row>
    <x:row r="104">
      <x:c r="A104" s="43" t="str">
        <x:v>IS_FINANCE_RESULT</x:v>
      </x:c>
      <x:c r="B104" s="43" t="str">
        <x:v>H3B_ATTEMPT005</x:v>
      </x:c>
      <x:c r="C104" s="43" t="str">
        <x:v>BASE</x:v>
      </x:c>
      <x:c r="D104" s="43" t="str">
        <x:v>RMB_MILLION</x:v>
      </x:c>
      <x:c r="E104" s="43" t="n">
        <x:v>3.14716513</x:v>
      </x:c>
      <x:c r="F104" s="43" t="n">
        <x:v>2028</x:v>
      </x:c>
      <x:c r="G104" s="39"/>
      <x:c r="H104" s="39"/>
    </x:row>
    <x:row r="105">
      <x:c r="A105" s="43" t="str">
        <x:v>IS_FINANCIAL_BUSINESS_INTEREST_COST</x:v>
      </x:c>
      <x:c r="B105" s="43" t="str">
        <x:v>H3B_ATTEMPT005</x:v>
      </x:c>
      <x:c r="C105" s="43" t="str">
        <x:v>BASE</x:v>
      </x:c>
      <x:c r="D105" s="43" t="str">
        <x:v>RMB_MILLION</x:v>
      </x:c>
      <x:c r="E105" s="43" t="n">
        <x:v>-0.33892805</x:v>
      </x:c>
      <x:c r="F105" s="43" t="n">
        <x:v>2028</x:v>
      </x:c>
      <x:c r="G105" s="39"/>
      <x:c r="H105" s="39"/>
    </x:row>
    <x:row r="106">
      <x:c r="A106" s="43" t="str">
        <x:v>IS_FINANCIAL_BUSINESS_INTEREST_INCOME</x:v>
      </x:c>
      <x:c r="B106" s="43" t="str">
        <x:v>H3B_ATTEMPT005</x:v>
      </x:c>
      <x:c r="C106" s="43" t="str">
        <x:v>BASE</x:v>
      </x:c>
      <x:c r="D106" s="43" t="str">
        <x:v>RMB_MILLION</x:v>
      </x:c>
      <x:c r="E106" s="43" t="n">
        <x:v>2526.76164338</x:v>
      </x:c>
      <x:c r="F106" s="43" t="n">
        <x:v>2028</x:v>
      </x:c>
      <x:c r="G106" s="39"/>
      <x:c r="H106" s="39"/>
    </x:row>
    <x:row r="107">
      <x:c r="A107" s="43" t="str">
        <x:v>IS_FINANCING_INTEREST_EXPENSE</x:v>
      </x:c>
      <x:c r="B107" s="43" t="str">
        <x:v>H3B_ATTEMPT005</x:v>
      </x:c>
      <x:c r="C107" s="43" t="str">
        <x:v>BASE</x:v>
      </x:c>
      <x:c r="D107" s="43" t="str">
        <x:v>RMB_MILLION</x:v>
      </x:c>
      <x:c r="E107" s="43" t="n">
        <x:v>-3156.93717181</x:v>
      </x:c>
      <x:c r="F107" s="43" t="n">
        <x:v>2028</x:v>
      </x:c>
      <x:c r="G107" s="39"/>
      <x:c r="H107" s="39"/>
    </x:row>
    <x:row r="108">
      <x:c r="A108" s="43" t="str">
        <x:v>IS_INCOME_TAX</x:v>
      </x:c>
      <x:c r="B108" s="43" t="str">
        <x:v>H3B_ATTEMPT005</x:v>
      </x:c>
      <x:c r="C108" s="43" t="str">
        <x:v>BASE</x:v>
      </x:c>
      <x:c r="D108" s="43" t="str">
        <x:v>RMB_MILLION</x:v>
      </x:c>
      <x:c r="E108" s="43" t="n">
        <x:v>-8833.31954714</x:v>
      </x:c>
      <x:c r="F108" s="43" t="n">
        <x:v>2028</x:v>
      </x:c>
      <x:c r="G108" s="39"/>
      <x:c r="H108" s="39"/>
    </x:row>
    <x:row r="109">
      <x:c r="A109" s="43" t="str">
        <x:v>IS_INVESTMENT_INCOME</x:v>
      </x:c>
      <x:c r="B109" s="43" t="str">
        <x:v>H3B_ATTEMPT005</x:v>
      </x:c>
      <x:c r="C109" s="43" t="str">
        <x:v>BASE</x:v>
      </x:c>
      <x:c r="D109" s="43" t="str">
        <x:v>RMB_MILLION</x:v>
      </x:c>
      <x:c r="E109" s="43" t="n">
        <x:v>2088.61147639</x:v>
      </x:c>
      <x:c r="F109" s="43" t="n">
        <x:v>2028</x:v>
      </x:c>
      <x:c r="G109" s="39"/>
      <x:c r="H109" s="39"/>
    </x:row>
    <x:row r="110">
      <x:c r="A110" s="43" t="str">
        <x:v>IS_NCI_PROFIT</x:v>
      </x:c>
      <x:c r="B110" s="43" t="str">
        <x:v>H3B_ATTEMPT005</x:v>
      </x:c>
      <x:c r="C110" s="43" t="str">
        <x:v>BASE</x:v>
      </x:c>
      <x:c r="D110" s="43" t="str">
        <x:v>RMB_MILLION</x:v>
      </x:c>
      <x:c r="E110" s="43" t="n">
        <x:v>628.65530563</x:v>
      </x:c>
      <x:c r="F110" s="43" t="n">
        <x:v>2028</x:v>
      </x:c>
      <x:c r="G110" s="39"/>
      <x:c r="H110" s="39"/>
    </x:row>
    <x:row r="111">
      <x:c r="A111" s="43" t="str">
        <x:v>IS_NET_PROFIT</x:v>
      </x:c>
      <x:c r="B111" s="43" t="str">
        <x:v>H3B_ATTEMPT005</x:v>
      </x:c>
      <x:c r="C111" s="43" t="str">
        <x:v>BASE</x:v>
      </x:c>
      <x:c r="D111" s="43" t="str">
        <x:v>RMB_MILLION</x:v>
      </x:c>
      <x:c r="E111" s="43" t="n">
        <x:v>48692.74149982</x:v>
      </x:c>
      <x:c r="F111" s="43" t="n">
        <x:v>2028</x:v>
      </x:c>
      <x:c r="G111" s="39"/>
      <x:c r="H111" s="39"/>
    </x:row>
    <x:row r="112">
      <x:c r="A112" s="43" t="str">
        <x:v>IS_OPERATING_COST</x:v>
      </x:c>
      <x:c r="B112" s="43" t="str">
        <x:v>H3B_ATTEMPT005</x:v>
      </x:c>
      <x:c r="C112" s="43" t="str">
        <x:v>BASE</x:v>
      </x:c>
      <x:c r="D112" s="43" t="str">
        <x:v>RMB_MILLION</x:v>
      </x:c>
      <x:c r="E112" s="43" t="n">
        <x:v>-417901.24463655</x:v>
      </x:c>
      <x:c r="F112" s="43" t="n">
        <x:v>2028</x:v>
      </x:c>
      <x:c r="G112" s="39"/>
      <x:c r="H112" s="39"/>
    </x:row>
    <x:row r="113">
      <x:c r="A113" s="43" t="str">
        <x:v>IS_OPERATING_PROFIT</x:v>
      </x:c>
      <x:c r="B113" s="43" t="str">
        <x:v>H3B_ATTEMPT005</x:v>
      </x:c>
      <x:c r="C113" s="43" t="str">
        <x:v>BASE</x:v>
      </x:c>
      <x:c r="D113" s="43" t="str">
        <x:v>RMB_MILLION</x:v>
      </x:c>
      <x:c r="E113" s="43" t="n">
        <x:v>57526.06104696</x:v>
      </x:c>
      <x:c r="F113" s="43" t="n">
        <x:v>2028</x:v>
      </x:c>
      <x:c r="G113" s="39"/>
      <x:c r="H113" s="39"/>
    </x:row>
    <x:row r="114">
      <x:c r="A114" s="43" t="str">
        <x:v>IS_OPERATING_REVENUE</x:v>
      </x:c>
      <x:c r="B114" s="43" t="str">
        <x:v>H3B_ATTEMPT005</x:v>
      </x:c>
      <x:c r="C114" s="43" t="str">
        <x:v>BASE</x:v>
      </x:c>
      <x:c r="D114" s="43" t="str">
        <x:v>RMB_MILLION</x:v>
      </x:c>
      <x:c r="E114" s="43" t="n">
        <x:v>562561.08082174</x:v>
      </x:c>
      <x:c r="F114" s="43" t="n">
        <x:v>2028</x:v>
      </x:c>
      <x:c r="G114" s="39"/>
      <x:c r="H114" s="39"/>
    </x:row>
    <x:row r="115">
      <x:c r="A115" s="43" t="str">
        <x:v>IS_OTHER_INCOME</x:v>
      </x:c>
      <x:c r="B115" s="43" t="str">
        <x:v>H3B_ATTEMPT005</x:v>
      </x:c>
      <x:c r="C115" s="43" t="str">
        <x:v>BASE</x:v>
      </x:c>
      <x:c r="D115" s="43" t="str">
        <x:v>RMB_MILLION</x:v>
      </x:c>
      <x:c r="E115" s="43" t="n">
        <x:v>3110.09080727</x:v>
      </x:c>
      <x:c r="F115" s="43" t="n">
        <x:v>2028</x:v>
      </x:c>
      <x:c r="G115" s="39"/>
      <x:c r="H115" s="39"/>
    </x:row>
    <x:row r="116">
      <x:c r="A116" s="43" t="str">
        <x:v>IS_PBT</x:v>
      </x:c>
      <x:c r="B116" s="43" t="str">
        <x:v>H3B_ATTEMPT005</x:v>
      </x:c>
      <x:c r="C116" s="43" t="str">
        <x:v>BASE</x:v>
      </x:c>
      <x:c r="D116" s="43" t="str">
        <x:v>RMB_MILLION</x:v>
      </x:c>
      <x:c r="E116" s="43" t="n">
        <x:v>57526.06104696</x:v>
      </x:c>
      <x:c r="F116" s="43" t="n">
        <x:v>2028</x:v>
      </x:c>
      <x:c r="G116" s="39"/>
      <x:c r="H116" s="39"/>
    </x:row>
    <x:row r="117">
      <x:c r="A117" s="43" t="str">
        <x:v>IS_RD_EXPENSE</x:v>
      </x:c>
      <x:c r="B117" s="43" t="str">
        <x:v>H3B_ATTEMPT005</x:v>
      </x:c>
      <x:c r="C117" s="43" t="str">
        <x:v>BASE</x:v>
      </x:c>
      <x:c r="D117" s="43" t="str">
        <x:v>RMB_MILLION</x:v>
      </x:c>
      <x:c r="E117" s="43" t="n">
        <x:v>-20562.1289419</x:v>
      </x:c>
      <x:c r="F117" s="43" t="n">
        <x:v>2028</x:v>
      </x:c>
      <x:c r="G117" s="39"/>
      <x:c r="H117" s="39"/>
    </x:row>
    <x:row r="118">
      <x:c r="A118" s="43" t="str">
        <x:v>IS_SELLING_EXPENSE</x:v>
      </x:c>
      <x:c r="B118" s="43" t="str">
        <x:v>H3B_ATTEMPT005</x:v>
      </x:c>
      <x:c r="C118" s="43" t="str">
        <x:v>BASE</x:v>
      </x:c>
      <x:c r="D118" s="43" t="str">
        <x:v>RMB_MILLION</x:v>
      </x:c>
      <x:c r="E118" s="43" t="n">
        <x:v>-51942.19585588</x:v>
      </x:c>
      <x:c r="F118" s="43" t="n">
        <x:v>2028</x:v>
      </x:c>
      <x:c r="G118" s="39"/>
      <x:c r="H118" s="39"/>
    </x:row>
    <x:row r="119">
      <x:c r="A119" s="43" t="str">
        <x:v>IS_TAXES_SURCHARGES</x:v>
      </x:c>
      <x:c r="B119" s="43" t="str">
        <x:v>H3B_ATTEMPT005</x:v>
      </x:c>
      <x:c r="C119" s="43" t="str">
        <x:v>BASE</x:v>
      </x:c>
      <x:c r="D119" s="43" t="str">
        <x:v>RMB_MILLION</x:v>
      </x:c>
      <x:c r="E119" s="43" t="n">
        <x:v>-2732.73253582</x:v>
      </x:c>
      <x:c r="F119" s="43" t="n">
        <x:v>2028</x:v>
      </x:c>
      <x:c r="G119" s="39"/>
      <x:c r="H119" s="39"/>
    </x:row>
    <x:row r="120">
      <x:c r="A120" s="43" t="str">
        <x:v>IS_TOTAL_REVENUE</x:v>
      </x:c>
      <x:c r="B120" s="43" t="str">
        <x:v>H3B_ATTEMPT005</x:v>
      </x:c>
      <x:c r="C120" s="43" t="str">
        <x:v>BASE</x:v>
      </x:c>
      <x:c r="D120" s="43" t="str">
        <x:v>RMB_MILLION</x:v>
      </x:c>
      <x:c r="E120" s="43" t="n">
        <x:v>565088.46855767</x:v>
      </x:c>
      <x:c r="F120" s="43" t="n">
        <x:v>2028</x:v>
      </x:c>
      <x:c r="G120" s="39"/>
      <x:c r="H120" s="39"/>
    </x:row>
    <x:row r="121">
      <x:c r="A121" s="43" t="str">
        <x:v>IS_ADJUSTED_ATTRIBUTABLE_NI</x:v>
      </x:c>
      <x:c r="B121" s="43" t="str">
        <x:v>H3B_ATTEMPT005</x:v>
      </x:c>
      <x:c r="C121" s="43" t="str">
        <x:v>BASE</x:v>
      </x:c>
      <x:c r="D121" s="43" t="str">
        <x:v>RMB_MILLION</x:v>
      </x:c>
      <x:c r="E121" s="43" t="n">
        <x:v>48470.91017195</x:v>
      </x:c>
      <x:c r="F121" s="43" t="n">
        <x:v>2029</x:v>
      </x:c>
      <x:c r="G121" s="39"/>
      <x:c r="H121" s="39"/>
    </x:row>
    <x:row r="122">
      <x:c r="A122" s="43" t="str">
        <x:v>IS_ADMIN_EXPENSE</x:v>
      </x:c>
      <x:c r="B122" s="43" t="str">
        <x:v>H3B_ATTEMPT005</x:v>
      </x:c>
      <x:c r="C122" s="43" t="str">
        <x:v>BASE</x:v>
      </x:c>
      <x:c r="D122" s="43" t="str">
        <x:v>RMB_MILLION</x:v>
      </x:c>
      <x:c r="E122" s="43" t="n">
        <x:v>-20500.96990088</x:v>
      </x:c>
      <x:c r="F122" s="43" t="n">
        <x:v>2029</x:v>
      </x:c>
      <x:c r="G122" s="39"/>
      <x:c r="H122" s="39"/>
    </x:row>
    <x:row r="123">
      <x:c r="A123" s="43" t="str">
        <x:v>IS_ASSET_DISPOSAL</x:v>
      </x:c>
      <x:c r="B123" s="43" t="str">
        <x:v>H3B_ATTEMPT005</x:v>
      </x:c>
      <x:c r="C123" s="43" t="str">
        <x:v>BASE</x:v>
      </x:c>
      <x:c r="D123" s="43" t="str">
        <x:v>RMB_MILLION</x:v>
      </x:c>
      <x:c r="E123" s="43" t="n">
        <x:v>-101.65379165</x:v>
      </x:c>
      <x:c r="F123" s="43" t="n">
        <x:v>2029</x:v>
      </x:c>
      <x:c r="G123" s="39"/>
      <x:c r="H123" s="39"/>
    </x:row>
    <x:row r="124">
      <x:c r="A124" s="43" t="str">
        <x:v>IS_ASSET_IMPAIRMENT</x:v>
      </x:c>
      <x:c r="B124" s="43" t="str">
        <x:v>H3B_ATTEMPT005</x:v>
      </x:c>
      <x:c r="C124" s="43" t="str">
        <x:v>BASE</x:v>
      </x:c>
      <x:c r="D124" s="43" t="str">
        <x:v>RMB_MILLION</x:v>
      </x:c>
      <x:c r="E124" s="43" t="n">
        <x:v>-1546.34666384</x:v>
      </x:c>
      <x:c r="F124" s="43" t="n">
        <x:v>2029</x:v>
      </x:c>
      <x:c r="G124" s="39"/>
      <x:c r="H124" s="39"/>
    </x:row>
    <x:row r="125">
      <x:c r="A125" s="43" t="str">
        <x:v>IS_ATTRIBUTABLE_NI</x:v>
      </x:c>
      <x:c r="B125" s="43" t="str">
        <x:v>H3B_ATTEMPT005</x:v>
      </x:c>
      <x:c r="C125" s="43" t="str">
        <x:v>BASE</x:v>
      </x:c>
      <x:c r="D125" s="43" t="str">
        <x:v>RMB_MILLION</x:v>
      </x:c>
      <x:c r="E125" s="43" t="n">
        <x:v>51616.59540029</x:v>
      </x:c>
      <x:c r="F125" s="43" t="n">
        <x:v>2029</x:v>
      </x:c>
      <x:c r="G125" s="39"/>
      <x:c r="H125" s="39"/>
    </x:row>
    <x:row r="126">
      <x:c r="A126" s="43" t="str">
        <x:v>IS_BASIC_EPS</x:v>
      </x:c>
      <x:c r="B126" s="43" t="str">
        <x:v>H3B_ATTEMPT005</x:v>
      </x:c>
      <x:c r="C126" s="43" t="str">
        <x:v>BASE</x:v>
      </x:c>
      <x:c r="D126" s="43" t="str">
        <x:v>RMB_PER_SHARE</x:v>
      </x:c>
      <x:c r="E126" s="43" t="n">
        <x:v>6.97284703</x:v>
      </x:c>
      <x:c r="F126" s="43" t="n">
        <x:v>2029</x:v>
      </x:c>
      <x:c r="G126" s="39"/>
      <x:c r="H126" s="39"/>
    </x:row>
    <x:row r="127">
      <x:c r="A127" s="43" t="str">
        <x:v>IS_CREDIT_IMPAIRMENT</x:v>
      </x:c>
      <x:c r="B127" s="43" t="str">
        <x:v>H3B_ATTEMPT005</x:v>
      </x:c>
      <x:c r="C127" s="43" t="str">
        <x:v>BASE</x:v>
      </x:c>
      <x:c r="D127" s="43" t="str">
        <x:v>RMB_MILLION</x:v>
      </x:c>
      <x:c r="E127" s="43" t="n">
        <x:v>-475.8302417</x:v>
      </x:c>
      <x:c r="F127" s="43" t="n">
        <x:v>2029</x:v>
      </x:c>
      <x:c r="G127" s="39"/>
      <x:c r="H127" s="39"/>
    </x:row>
    <x:row r="128">
      <x:c r="A128" s="43" t="str">
        <x:v>IS_DILUTED_EPS</x:v>
      </x:c>
      <x:c r="B128" s="43" t="str">
        <x:v>H3B_ATTEMPT005</x:v>
      </x:c>
      <x:c r="C128" s="43" t="str">
        <x:v>BASE</x:v>
      </x:c>
      <x:c r="D128" s="43" t="str">
        <x:v>RMB_PER_SHARE</x:v>
      </x:c>
      <x:c r="E128" s="43" t="n">
        <x:v>6.97284703</x:v>
      </x:c>
      <x:c r="F128" s="43" t="n">
        <x:v>2029</x:v>
      </x:c>
      <x:c r="G128" s="39"/>
      <x:c r="H128" s="39"/>
    </x:row>
    <x:row r="129">
      <x:c r="A129" s="43" t="str">
        <x:v>IS_FAIR_VALUE_CHANGE</x:v>
      </x:c>
      <x:c r="B129" s="43" t="str">
        <x:v>H3B_ATTEMPT005</x:v>
      </x:c>
      <x:c r="C129" s="43" t="str">
        <x:v>BASE</x:v>
      </x:c>
      <x:c r="D129" s="43" t="str">
        <x:v>RMB_MILLION</x:v>
      </x:c>
      <x:c r="E129" s="43" t="n">
        <x:v>1046.11250559</x:v>
      </x:c>
      <x:c r="F129" s="43" t="n">
        <x:v>2029</x:v>
      </x:c>
      <x:c r="G129" s="39"/>
      <x:c r="H129" s="39"/>
    </x:row>
    <x:row r="130">
      <x:c r="A130" s="43" t="str">
        <x:v>IS_FEE_COMMISSION_EXPENSE</x:v>
      </x:c>
      <x:c r="B130" s="43" t="str">
        <x:v>H3B_ATTEMPT005</x:v>
      </x:c>
      <x:c r="C130" s="43" t="str">
        <x:v>BASE</x:v>
      </x:c>
      <x:c r="D130" s="43" t="str">
        <x:v>RMB_MILLION</x:v>
      </x:c>
      <x:c r="E130" s="43" t="n">
        <x:v>-2.19556358</x:v>
      </x:c>
      <x:c r="F130" s="43" t="n">
        <x:v>2029</x:v>
      </x:c>
      <x:c r="G130" s="39"/>
      <x:c r="H130" s="39"/>
    </x:row>
    <x:row r="131">
      <x:c r="A131" s="43" t="str">
        <x:v>IS_FEE_COMMISSION_INCOME</x:v>
      </x:c>
      <x:c r="B131" s="43" t="str">
        <x:v>H3B_ATTEMPT005</x:v>
      </x:c>
      <x:c r="C131" s="43" t="str">
        <x:v>BASE</x:v>
      </x:c>
      <x:c r="D131" s="43" t="str">
        <x:v>RMB_MILLION</x:v>
      </x:c>
      <x:c r="E131" s="43" t="n">
        <x:v>0.67926084</x:v>
      </x:c>
      <x:c r="F131" s="43" t="n">
        <x:v>2029</x:v>
      </x:c>
      <x:c r="G131" s="39"/>
      <x:c r="H131" s="39"/>
    </x:row>
    <x:row r="132">
      <x:c r="A132" s="43" t="str">
        <x:v>IS_FINANCE_INTEREST_INCOME</x:v>
      </x:c>
      <x:c r="B132" s="43" t="str">
        <x:v>H3B_ATTEMPT005</x:v>
      </x:c>
      <x:c r="C132" s="43" t="str">
        <x:v>BASE</x:v>
      </x:c>
      <x:c r="D132" s="43" t="str">
        <x:v>RMB_MILLION</x:v>
      </x:c>
      <x:c r="E132" s="43" t="n">
        <x:v>3584.7800918</x:v>
      </x:c>
      <x:c r="F132" s="43" t="n">
        <x:v>2029</x:v>
      </x:c>
      <x:c r="G132" s="39"/>
      <x:c r="H132" s="39"/>
    </x:row>
    <x:row r="133">
      <x:c r="A133" s="43" t="str">
        <x:v>IS_FINANCE_RESULT</x:v>
      </x:c>
      <x:c r="B133" s="43" t="str">
        <x:v>H3B_ATTEMPT005</x:v>
      </x:c>
      <x:c r="C133" s="43" t="str">
        <x:v>BASE</x:v>
      </x:c>
      <x:c r="D133" s="43" t="str">
        <x:v>RMB_MILLION</x:v>
      </x:c>
      <x:c r="E133" s="43" t="n">
        <x:v>194.90702042</x:v>
      </x:c>
      <x:c r="F133" s="43" t="n">
        <x:v>2029</x:v>
      </x:c>
      <x:c r="G133" s="39"/>
      <x:c r="H133" s="39"/>
    </x:row>
    <x:row r="134">
      <x:c r="A134" s="43" t="str">
        <x:v>IS_FINANCIAL_BUSINESS_INTEREST_COST</x:v>
      </x:c>
      <x:c r="B134" s="43" t="str">
        <x:v>H3B_ATTEMPT005</x:v>
      </x:c>
      <x:c r="C134" s="43" t="str">
        <x:v>BASE</x:v>
      </x:c>
      <x:c r="D134" s="43" t="str">
        <x:v>RMB_MILLION</x:v>
      </x:c>
      <x:c r="E134" s="43" t="n">
        <x:v>-0.3677101</x:v>
      </x:c>
      <x:c r="F134" s="43" t="n">
        <x:v>2029</x:v>
      </x:c>
      <x:c r="G134" s="39"/>
      <x:c r="H134" s="39"/>
    </x:row>
    <x:row r="135">
      <x:c r="A135" s="43" t="str">
        <x:v>IS_FINANCIAL_BUSINESS_INTEREST_INCOME</x:v>
      </x:c>
      <x:c r="B135" s="43" t="str">
        <x:v>H3B_ATTEMPT005</x:v>
      </x:c>
      <x:c r="C135" s="43" t="str">
        <x:v>BASE</x:v>
      </x:c>
      <x:c r="D135" s="43" t="str">
        <x:v>RMB_MILLION</x:v>
      </x:c>
      <x:c r="E135" s="43" t="n">
        <x:v>2741.33629791</x:v>
      </x:c>
      <x:c r="F135" s="43" t="n">
        <x:v>2029</x:v>
      </x:c>
      <x:c r="G135" s="39"/>
      <x:c r="H135" s="39"/>
    </x:row>
    <x:row r="136">
      <x:c r="A136" s="43" t="str">
        <x:v>IS_FINANCING_INTEREST_EXPENSE</x:v>
      </x:c>
      <x:c r="B136" s="43" t="str">
        <x:v>H3B_ATTEMPT005</x:v>
      </x:c>
      <x:c r="C136" s="43" t="str">
        <x:v>BASE</x:v>
      </x:c>
      <x:c r="D136" s="43" t="str">
        <x:v>RMB_MILLION</x:v>
      </x:c>
      <x:c r="E136" s="43" t="n">
        <x:v>-3389.50536128</x:v>
      </x:c>
      <x:c r="F136" s="43" t="n">
        <x:v>2029</x:v>
      </x:c>
      <x:c r="G136" s="39"/>
      <x:c r="H136" s="39"/>
    </x:row>
    <x:row r="137">
      <x:c r="A137" s="43" t="str">
        <x:v>IS_INCOME_TAX</x:v>
      </x:c>
      <x:c r="B137" s="43" t="str">
        <x:v>H3B_ATTEMPT005</x:v>
      </x:c>
      <x:c r="C137" s="43" t="str">
        <x:v>BASE</x:v>
      </x:c>
      <x:c r="D137" s="43" t="str">
        <x:v>RMB_MILLION</x:v>
      </x:c>
      <x:c r="E137" s="43" t="n">
        <x:v>-9504.67369947</x:v>
      </x:c>
      <x:c r="F137" s="43" t="n">
        <x:v>2029</x:v>
      </x:c>
      <x:c r="G137" s="39"/>
      <x:c r="H137" s="39"/>
    </x:row>
    <x:row r="138">
      <x:c r="A138" s="43" t="str">
        <x:v>IS_INVESTMENT_INCOME</x:v>
      </x:c>
      <x:c r="B138" s="43" t="str">
        <x:v>H3B_ATTEMPT005</x:v>
      </x:c>
      <x:c r="C138" s="43" t="str">
        <x:v>BASE</x:v>
      </x:c>
      <x:c r="D138" s="43" t="str">
        <x:v>RMB_MILLION</x:v>
      </x:c>
      <x:c r="E138" s="43" t="n">
        <x:v>2265.97806226</x:v>
      </x:c>
      <x:c r="F138" s="43" t="n">
        <x:v>2029</x:v>
      </x:c>
      <x:c r="G138" s="39"/>
      <x:c r="H138" s="39"/>
    </x:row>
    <x:row r="139">
      <x:c r="A139" s="43" t="str">
        <x:v>IS_NCI_PROFIT</x:v>
      </x:c>
      <x:c r="B139" s="43" t="str">
        <x:v>H3B_ATTEMPT005</x:v>
      </x:c>
      <x:c r="C139" s="43" t="str">
        <x:v>BASE</x:v>
      </x:c>
      <x:c r="D139" s="43" t="str">
        <x:v>RMB_MILLION</x:v>
      </x:c>
      <x:c r="E139" s="43" t="n">
        <x:v>675.12043037</x:v>
      </x:c>
      <x:c r="F139" s="43" t="n">
        <x:v>2029</x:v>
      </x:c>
      <x:c r="G139" s="39"/>
      <x:c r="H139" s="39"/>
    </x:row>
    <x:row r="140">
      <x:c r="A140" s="43" t="str">
        <x:v>IS_NET_PROFIT</x:v>
      </x:c>
      <x:c r="B140" s="43" t="str">
        <x:v>H3B_ATTEMPT005</x:v>
      </x:c>
      <x:c r="C140" s="43" t="str">
        <x:v>BASE</x:v>
      </x:c>
      <x:c r="D140" s="43" t="str">
        <x:v>RMB_MILLION</x:v>
      </x:c>
      <x:c r="E140" s="43" t="n">
        <x:v>52291.71583066</x:v>
      </x:c>
      <x:c r="F140" s="43" t="n">
        <x:v>2029</x:v>
      </x:c>
      <x:c r="G140" s="39"/>
      <x:c r="H140" s="39"/>
    </x:row>
    <x:row r="141">
      <x:c r="A141" s="43" t="str">
        <x:v>IS_OPERATING_COST</x:v>
      </x:c>
      <x:c r="B141" s="43" t="str">
        <x:v>H3B_ATTEMPT005</x:v>
      </x:c>
      <x:c r="C141" s="43" t="str">
        <x:v>BASE</x:v>
      </x:c>
      <x:c r="D141" s="43" t="str">
        <x:v>RMB_MILLION</x:v>
      </x:c>
      <x:c r="E141" s="43" t="n">
        <x:v>-453307.72654706</x:v>
      </x:c>
      <x:c r="F141" s="43" t="n">
        <x:v>2029</x:v>
      </x:c>
      <x:c r="G141" s="39"/>
      <x:c r="H141" s="39"/>
    </x:row>
    <x:row r="142">
      <x:c r="A142" s="43" t="str">
        <x:v>IS_OPERATING_PROFIT</x:v>
      </x:c>
      <x:c r="B142" s="43" t="str">
        <x:v>H3B_ATTEMPT005</x:v>
      </x:c>
      <x:c r="C142" s="43" t="str">
        <x:v>BASE</x:v>
      </x:c>
      <x:c r="D142" s="43" t="str">
        <x:v>RMB_MILLION</x:v>
      </x:c>
      <x:c r="E142" s="43" t="n">
        <x:v>61796.38953013</x:v>
      </x:c>
      <x:c r="F142" s="43" t="n">
        <x:v>2029</x:v>
      </x:c>
      <x:c r="G142" s="39"/>
      <x:c r="H142" s="39"/>
    </x:row>
    <x:row r="143">
      <x:c r="A143" s="43" t="str">
        <x:v>IS_OPERATING_REVENUE</x:v>
      </x:c>
      <x:c r="B143" s="43" t="str">
        <x:v>H3B_ATTEMPT005</x:v>
      </x:c>
      <x:c r="C143" s="43" t="str">
        <x:v>BASE</x:v>
      </x:c>
      <x:c r="D143" s="43" t="str">
        <x:v>RMB_MILLION</x:v>
      </x:c>
      <x:c r="E143" s="43" t="n">
        <x:v>610334.22550481</x:v>
      </x:c>
      <x:c r="F143" s="43" t="n">
        <x:v>2029</x:v>
      </x:c>
      <x:c r="G143" s="39"/>
      <x:c r="H143" s="39"/>
    </x:row>
    <x:row r="144">
      <x:c r="A144" s="43" t="str">
        <x:v>IS_OTHER_INCOME</x:v>
      </x:c>
      <x:c r="B144" s="43" t="str">
        <x:v>H3B_ATTEMPT005</x:v>
      </x:c>
      <x:c r="C144" s="43" t="str">
        <x:v>BASE</x:v>
      </x:c>
      <x:c r="D144" s="43" t="str">
        <x:v>RMB_MILLION</x:v>
      </x:c>
      <x:c r="E144" s="43" t="n">
        <x:v>3374.20224899</x:v>
      </x:c>
      <x:c r="F144" s="43" t="n">
        <x:v>2029</x:v>
      </x:c>
      <x:c r="G144" s="39"/>
      <x:c r="H144" s="39"/>
    </x:row>
    <x:row r="145">
      <x:c r="A145" s="43" t="str">
        <x:v>IS_PBT</x:v>
      </x:c>
      <x:c r="B145" s="43" t="str">
        <x:v>H3B_ATTEMPT005</x:v>
      </x:c>
      <x:c r="C145" s="43" t="str">
        <x:v>BASE</x:v>
      </x:c>
      <x:c r="D145" s="43" t="str">
        <x:v>RMB_MILLION</x:v>
      </x:c>
      <x:c r="E145" s="43" t="n">
        <x:v>61796.38953013</x:v>
      </x:c>
      <x:c r="F145" s="43" t="n">
        <x:v>2029</x:v>
      </x:c>
      <x:c r="G145" s="39"/>
      <x:c r="H145" s="39"/>
    </x:row>
    <x:row r="146">
      <x:c r="A146" s="43" t="str">
        <x:v>IS_RD_EXPENSE</x:v>
      </x:c>
      <x:c r="B146" s="43" t="str">
        <x:v>H3B_ATTEMPT005</x:v>
      </x:c>
      <x:c r="C146" s="43" t="str">
        <x:v>BASE</x:v>
      </x:c>
      <x:c r="D146" s="43" t="str">
        <x:v>RMB_MILLION</x:v>
      </x:c>
      <x:c r="E146" s="43" t="n">
        <x:v>-22581.49655637</x:v>
      </x:c>
      <x:c r="F146" s="43" t="n">
        <x:v>2029</x:v>
      </x:c>
      <x:c r="G146" s="39"/>
      <x:c r="H146" s="39"/>
    </x:row>
    <x:row r="147">
      <x:c r="A147" s="43" t="str">
        <x:v>IS_SELLING_EXPENSE</x:v>
      </x:c>
      <x:c r="B147" s="43" t="str">
        <x:v>H3B_ATTEMPT005</x:v>
      </x:c>
      <x:c r="C147" s="43" t="str">
        <x:v>BASE</x:v>
      </x:c>
      <x:c r="D147" s="43" t="str">
        <x:v>RMB_MILLION</x:v>
      </x:c>
      <x:c r="E147" s="43" t="n">
        <x:v>-56680.0336995</x:v>
      </x:c>
      <x:c r="F147" s="43" t="n">
        <x:v>2029</x:v>
      </x:c>
      <x:c r="G147" s="39"/>
      <x:c r="H147" s="39"/>
    </x:row>
    <x:row r="148">
      <x:c r="A148" s="43" t="str">
        <x:v>IS_TAXES_SURCHARGES</x:v>
      </x:c>
      <x:c r="B148" s="43" t="str">
        <x:v>H3B_ATTEMPT005</x:v>
      </x:c>
      <x:c r="C148" s="43" t="str">
        <x:v>BASE</x:v>
      </x:c>
      <x:c r="D148" s="43" t="str">
        <x:v>RMB_MILLION</x:v>
      </x:c>
      <x:c r="E148" s="43" t="n">
        <x:v>-2964.79840611</x:v>
      </x:c>
      <x:c r="F148" s="43" t="n">
        <x:v>2029</x:v>
      </x:c>
      <x:c r="G148" s="39"/>
      <x:c r="H148" s="39"/>
    </x:row>
    <x:row r="149">
      <x:c r="A149" s="43" t="str">
        <x:v>IS_TOTAL_REVENUE</x:v>
      </x:c>
      <x:c r="B149" s="43" t="str">
        <x:v>H3B_ATTEMPT005</x:v>
      </x:c>
      <x:c r="C149" s="43" t="str">
        <x:v>BASE</x:v>
      </x:c>
      <x:c r="D149" s="43" t="str">
        <x:v>RMB_MILLION</x:v>
      </x:c>
      <x:c r="E149" s="43" t="n">
        <x:v>613076.24106356</x:v>
      </x:c>
      <x:c r="F149" s="43" t="n">
        <x:v>2029</x:v>
      </x:c>
      <x:c r="G149" s="39"/>
      <x:c r="H149" s="39"/>
    </x:row>
    <x:row r="150">
      <x:c r="A150" s="43" t="str">
        <x:v>IS_ADJUSTED_ATTRIBUTABLE_NI</x:v>
      </x:c>
      <x:c r="B150" s="43" t="str">
        <x:v>H3B_ATTEMPT005</x:v>
      </x:c>
      <x:c r="C150" s="43" t="str">
        <x:v>BASE</x:v>
      </x:c>
      <x:c r="D150" s="43" t="str">
        <x:v>RMB_MILLION</x:v>
      </x:c>
      <x:c r="E150" s="43" t="n">
        <x:v>52432.55045382</x:v>
      </x:c>
      <x:c r="F150" s="43" t="n">
        <x:v>2030</x:v>
      </x:c>
      <x:c r="G150" s="39"/>
      <x:c r="H150" s="39"/>
    </x:row>
    <x:row r="151">
      <x:c r="A151" s="43" t="str">
        <x:v>IS_ADMIN_EXPENSE</x:v>
      </x:c>
      <x:c r="B151" s="43" t="str">
        <x:v>H3B_ATTEMPT005</x:v>
      </x:c>
      <x:c r="C151" s="43" t="str">
        <x:v>BASE</x:v>
      </x:c>
      <x:c r="D151" s="43" t="str">
        <x:v>RMB_MILLION</x:v>
      </x:c>
      <x:c r="E151" s="43" t="n">
        <x:v>-22513.70356366</x:v>
      </x:c>
      <x:c r="F151" s="43" t="n">
        <x:v>2030</x:v>
      </x:c>
      <x:c r="G151" s="39"/>
      <x:c r="H151" s="39"/>
    </x:row>
    <x:row r="152">
      <x:c r="A152" s="43" t="str">
        <x:v>IS_ASSET_DISPOSAL</x:v>
      </x:c>
      <x:c r="B152" s="43" t="str">
        <x:v>H3B_ATTEMPT005</x:v>
      </x:c>
      <x:c r="C152" s="43" t="str">
        <x:v>BASE</x:v>
      </x:c>
      <x:c r="D152" s="43" t="str">
        <x:v>RMB_MILLION</x:v>
      </x:c>
      <x:c r="E152" s="43" t="n">
        <x:v>-110.62280768</x:v>
      </x:c>
      <x:c r="F152" s="43" t="n">
        <x:v>2030</x:v>
      </x:c>
      <x:c r="G152" s="39"/>
      <x:c r="H152" s="39"/>
    </x:row>
    <x:row r="153">
      <x:c r="A153" s="43" t="str">
        <x:v>IS_ASSET_IMPAIRMENT</x:v>
      </x:c>
      <x:c r="B153" s="43" t="str">
        <x:v>H3B_ATTEMPT005</x:v>
      </x:c>
      <x:c r="C153" s="43" t="str">
        <x:v>BASE</x:v>
      </x:c>
      <x:c r="D153" s="43" t="str">
        <x:v>RMB_MILLION</x:v>
      </x:c>
      <x:c r="E153" s="43" t="n">
        <x:v>-1682.78238159</x:v>
      </x:c>
      <x:c r="F153" s="43" t="n">
        <x:v>2030</x:v>
      </x:c>
      <x:c r="G153" s="39"/>
      <x:c r="H153" s="39"/>
    </x:row>
    <x:row r="154">
      <x:c r="A154" s="43" t="str">
        <x:v>IS_ATTRIBUTABLE_NI</x:v>
      </x:c>
      <x:c r="B154" s="43" t="str">
        <x:v>H3B_ATTEMPT005</x:v>
      </x:c>
      <x:c r="C154" s="43" t="str">
        <x:v>BASE</x:v>
      </x:c>
      <x:c r="D154" s="43" t="str">
        <x:v>RMB_MILLION</x:v>
      </x:c>
      <x:c r="E154" s="43" t="n">
        <x:v>55835.33985601</x:v>
      </x:c>
      <x:c r="F154" s="43" t="n">
        <x:v>2030</x:v>
      </x:c>
      <x:c r="G154" s="39"/>
      <x:c r="H154" s="39"/>
    </x:row>
    <x:row r="155">
      <x:c r="A155" s="43" t="str">
        <x:v>IS_BASIC_EPS</x:v>
      </x:c>
      <x:c r="B155" s="43" t="str">
        <x:v>H3B_ATTEMPT005</x:v>
      </x:c>
      <x:c r="C155" s="43" t="str">
        <x:v>BASE</x:v>
      </x:c>
      <x:c r="D155" s="43" t="str">
        <x:v>RMB_PER_SHARE</x:v>
      </x:c>
      <x:c r="E155" s="43" t="n">
        <x:v>7.54275405</x:v>
      </x:c>
      <x:c r="F155" s="43" t="n">
        <x:v>2030</x:v>
      </x:c>
      <x:c r="G155" s="39"/>
      <x:c r="H155" s="39"/>
    </x:row>
    <x:row r="156">
      <x:c r="A156" s="43" t="str">
        <x:v>IS_CREDIT_IMPAIRMENT</x:v>
      </x:c>
      <x:c r="B156" s="43" t="str">
        <x:v>H3B_ATTEMPT005</x:v>
      </x:c>
      <x:c r="C156" s="43" t="str">
        <x:v>BASE</x:v>
      </x:c>
      <x:c r="D156" s="43" t="str">
        <x:v>RMB_MILLION</x:v>
      </x:c>
      <x:c r="E156" s="43" t="n">
        <x:v>-517.81322138</x:v>
      </x:c>
      <x:c r="F156" s="43" t="n">
        <x:v>2030</x:v>
      </x:c>
      <x:c r="G156" s="39"/>
      <x:c r="H156" s="39"/>
    </x:row>
    <x:row r="157">
      <x:c r="A157" s="43" t="str">
        <x:v>IS_DILUTED_EPS</x:v>
      </x:c>
      <x:c r="B157" s="43" t="str">
        <x:v>H3B_ATTEMPT005</x:v>
      </x:c>
      <x:c r="C157" s="43" t="str">
        <x:v>BASE</x:v>
      </x:c>
      <x:c r="D157" s="43" t="str">
        <x:v>RMB_PER_SHARE</x:v>
      </x:c>
      <x:c r="E157" s="43" t="n">
        <x:v>7.54275405</x:v>
      </x:c>
      <x:c r="F157" s="43" t="n">
        <x:v>2030</x:v>
      </x:c>
      <x:c r="G157" s="39"/>
      <x:c r="H157" s="39"/>
    </x:row>
    <x:row r="158">
      <x:c r="A158" s="43" t="str">
        <x:v>IS_FAIR_VALUE_CHANGE</x:v>
      </x:c>
      <x:c r="B158" s="43" t="str">
        <x:v>H3B_ATTEMPT005</x:v>
      </x:c>
      <x:c r="C158" s="43" t="str">
        <x:v>BASE</x:v>
      </x:c>
      <x:c r="D158" s="43" t="str">
        <x:v>RMB_MILLION</x:v>
      </x:c>
      <x:c r="E158" s="43" t="n">
        <x:v>1138.41206163</x:v>
      </x:c>
      <x:c r="F158" s="43" t="n">
        <x:v>2030</x:v>
      </x:c>
      <x:c r="G158" s="39"/>
      <x:c r="H158" s="39"/>
    </x:row>
    <x:row r="159">
      <x:c r="A159" s="43" t="str">
        <x:v>IS_FEE_COMMISSION_EXPENSE</x:v>
      </x:c>
      <x:c r="B159" s="43" t="str">
        <x:v>H3B_ATTEMPT005</x:v>
      </x:c>
      <x:c r="C159" s="43" t="str">
        <x:v>BASE</x:v>
      </x:c>
      <x:c r="D159" s="43" t="str">
        <x:v>RMB_MILLION</x:v>
      </x:c>
      <x:c r="E159" s="43" t="n">
        <x:v>-2.38928036</x:v>
      </x:c>
      <x:c r="F159" s="43" t="n">
        <x:v>2030</x:v>
      </x:c>
      <x:c r="G159" s="39"/>
      <x:c r="H159" s="39"/>
    </x:row>
    <x:row r="160">
      <x:c r="A160" s="43" t="str">
        <x:v>IS_FEE_COMMISSION_INCOME</x:v>
      </x:c>
      <x:c r="B160" s="43" t="str">
        <x:v>H3B_ATTEMPT005</x:v>
      </x:c>
      <x:c r="C160" s="43" t="str">
        <x:v>BASE</x:v>
      </x:c>
      <x:c r="D160" s="43" t="str">
        <x:v>RMB_MILLION</x:v>
      </x:c>
      <x:c r="E160" s="43" t="n">
        <x:v>0.73919271</x:v>
      </x:c>
      <x:c r="F160" s="43" t="n">
        <x:v>2030</x:v>
      </x:c>
      <x:c r="G160" s="39"/>
      <x:c r="H160" s="39"/>
    </x:row>
    <x:row r="161">
      <x:c r="A161" s="43" t="str">
        <x:v>IS_FINANCE_INTEREST_INCOME</x:v>
      </x:c>
      <x:c r="B161" s="43" t="str">
        <x:v>H3B_ATTEMPT005</x:v>
      </x:c>
      <x:c r="C161" s="43" t="str">
        <x:v>BASE</x:v>
      </x:c>
      <x:c r="D161" s="43" t="str">
        <x:v>RMB_MILLION</x:v>
      </x:c>
      <x:c r="E161" s="43" t="n">
        <x:v>4047.26865377</x:v>
      </x:c>
      <x:c r="F161" s="43" t="n">
        <x:v>2030</x:v>
      </x:c>
      <x:c r="G161" s="39"/>
      <x:c r="H161" s="39"/>
    </x:row>
    <x:row r="162">
      <x:c r="A162" s="43" t="str">
        <x:v>IS_FINANCE_RESULT</x:v>
      </x:c>
      <x:c r="B162" s="43" t="str">
        <x:v>H3B_ATTEMPT005</x:v>
      </x:c>
      <x:c r="C162" s="43" t="str">
        <x:v>BASE</x:v>
      </x:c>
      <x:c r="D162" s="43" t="str">
        <x:v>RMB_MILLION</x:v>
      </x:c>
      <x:c r="E162" s="43" t="n">
        <x:v>393.85326747</x:v>
      </x:c>
      <x:c r="F162" s="43" t="n">
        <x:v>2030</x:v>
      </x:c>
      <x:c r="G162" s="39"/>
      <x:c r="H162" s="39"/>
    </x:row>
    <x:row r="163">
      <x:c r="A163" s="43" t="str">
        <x:v>IS_FINANCIAL_BUSINESS_INTEREST_COST</x:v>
      </x:c>
      <x:c r="B163" s="43" t="str">
        <x:v>H3B_ATTEMPT005</x:v>
      </x:c>
      <x:c r="C163" s="43" t="str">
        <x:v>BASE</x:v>
      </x:c>
      <x:c r="D163" s="43" t="str">
        <x:v>RMB_MILLION</x:v>
      </x:c>
      <x:c r="E163" s="43" t="n">
        <x:v>-0.40015353</x:v>
      </x:c>
      <x:c r="F163" s="43" t="n">
        <x:v>2030</x:v>
      </x:c>
      <x:c r="G163" s="39"/>
      <x:c r="H163" s="39"/>
    </x:row>
    <x:row r="164">
      <x:c r="A164" s="43" t="str">
        <x:v>IS_FINANCIAL_BUSINESS_INTEREST_INCOME</x:v>
      </x:c>
      <x:c r="B164" s="43" t="str">
        <x:v>H3B_ATTEMPT005</x:v>
      </x:c>
      <x:c r="C164" s="43" t="str">
        <x:v>BASE</x:v>
      </x:c>
      <x:c r="D164" s="43" t="str">
        <x:v>RMB_MILLION</x:v>
      </x:c>
      <x:c r="E164" s="43" t="n">
        <x:v>2983.20715013</x:v>
      </x:c>
      <x:c r="F164" s="43" t="n">
        <x:v>2030</x:v>
      </x:c>
      <x:c r="G164" s="39"/>
      <x:c r="H164" s="39"/>
    </x:row>
    <x:row r="165">
      <x:c r="A165" s="43" t="str">
        <x:v>IS_FINANCING_INTEREST_EXPENSE</x:v>
      </x:c>
      <x:c r="B165" s="43" t="str">
        <x:v>H3B_ATTEMPT005</x:v>
      </x:c>
      <x:c r="C165" s="43" t="str">
        <x:v>BASE</x:v>
      </x:c>
      <x:c r="D165" s="43" t="str">
        <x:v>RMB_MILLION</x:v>
      </x:c>
      <x:c r="E165" s="43" t="n">
        <x:v>-3653.01523277</x:v>
      </x:c>
      <x:c r="F165" s="43" t="n">
        <x:v>2030</x:v>
      </x:c>
      <x:c r="G165" s="39"/>
      <x:c r="H165" s="39"/>
    </x:row>
    <x:row r="166">
      <x:c r="A166" s="43" t="str">
        <x:v>IS_INCOME_TAX</x:v>
      </x:c>
      <x:c r="B166" s="43" t="str">
        <x:v>H3B_ATTEMPT005</x:v>
      </x:c>
      <x:c r="C166" s="43" t="str">
        <x:v>BASE</x:v>
      </x:c>
      <x:c r="D166" s="43" t="str">
        <x:v>RMB_MILLION</x:v>
      </x:c>
      <x:c r="E166" s="43" t="n">
        <x:v>-10294.50346864</x:v>
      </x:c>
      <x:c r="F166" s="43" t="n">
        <x:v>2030</x:v>
      </x:c>
      <x:c r="G166" s="39"/>
      <x:c r="H166" s="39"/>
    </x:row>
    <x:row r="167">
      <x:c r="A167" s="43" t="str">
        <x:v>IS_INVESTMENT_INCOME</x:v>
      </x:c>
      <x:c r="B167" s="43" t="str">
        <x:v>H3B_ATTEMPT005</x:v>
      </x:c>
      <x:c r="C167" s="43" t="str">
        <x:v>BASE</x:v>
      </x:c>
      <x:c r="D167" s="43" t="str">
        <x:v>RMB_MILLION</x:v>
      </x:c>
      <x:c r="E167" s="43" t="n">
        <x:v>2465.90758038</x:v>
      </x:c>
      <x:c r="F167" s="43" t="n">
        <x:v>2030</x:v>
      </x:c>
      <x:c r="G167" s="39"/>
      <x:c r="H167" s="39"/>
    </x:row>
    <x:row r="168">
      <x:c r="A168" s="43" t="str">
        <x:v>IS_NCI_PROFIT</x:v>
      </x:c>
      <x:c r="B168" s="43" t="str">
        <x:v>H3B_ATTEMPT005</x:v>
      </x:c>
      <x:c r="C168" s="43" t="str">
        <x:v>BASE</x:v>
      </x:c>
      <x:c r="D168" s="43" t="str">
        <x:v>RMB_MILLION</x:v>
      </x:c>
      <x:c r="E168" s="43" t="n">
        <x:v>730.29959417</x:v>
      </x:c>
      <x:c r="F168" s="43" t="n">
        <x:v>2030</x:v>
      </x:c>
      <x:c r="G168" s="39"/>
      <x:c r="H168" s="39"/>
    </x:row>
    <x:row r="169">
      <x:c r="A169" s="43" t="str">
        <x:v>IS_NET_PROFIT</x:v>
      </x:c>
      <x:c r="B169" s="43" t="str">
        <x:v>H3B_ATTEMPT005</x:v>
      </x:c>
      <x:c r="C169" s="43" t="str">
        <x:v>BASE</x:v>
      </x:c>
      <x:c r="D169" s="43" t="str">
        <x:v>RMB_MILLION</x:v>
      </x:c>
      <x:c r="E169" s="43" t="n">
        <x:v>56565.63945018</x:v>
      </x:c>
      <x:c r="F169" s="43" t="n">
        <x:v>2030</x:v>
      </x:c>
      <x:c r="G169" s="39"/>
      <x:c r="H169" s="39"/>
    </x:row>
    <x:row r="170">
      <x:c r="A170" s="43" t="str">
        <x:v>IS_OPERATING_COST</x:v>
      </x:c>
      <x:c r="B170" s="43" t="str">
        <x:v>H3B_ATTEMPT005</x:v>
      </x:c>
      <x:c r="C170" s="43" t="str">
        <x:v>BASE</x:v>
      </x:c>
      <x:c r="D170" s="43" t="str">
        <x:v>RMB_MILLION</x:v>
      </x:c>
      <x:c r="E170" s="43" t="n">
        <x:v>-493245.49694774</x:v>
      </x:c>
      <x:c r="F170" s="43" t="n">
        <x:v>2030</x:v>
      </x:c>
      <x:c r="G170" s="39"/>
      <x:c r="H170" s="39"/>
    </x:row>
    <x:row r="171">
      <x:c r="A171" s="43" t="str">
        <x:v>IS_OPERATING_PROFIT</x:v>
      </x:c>
      <x:c r="B171" s="43" t="str">
        <x:v>H3B_ATTEMPT005</x:v>
      </x:c>
      <x:c r="C171" s="43" t="str">
        <x:v>BASE</x:v>
      </x:c>
      <x:c r="D171" s="43" t="str">
        <x:v>RMB_MILLION</x:v>
      </x:c>
      <x:c r="E171" s="43" t="n">
        <x:v>66860.14291882</x:v>
      </x:c>
      <x:c r="F171" s="43" t="n">
        <x:v>2030</x:v>
      </x:c>
      <x:c r="G171" s="39"/>
      <x:c r="H171" s="39"/>
    </x:row>
    <x:row r="172">
      <x:c r="A172" s="43" t="str">
        <x:v>IS_OPERATING_REVENUE</x:v>
      </x:c>
      <x:c r="B172" s="43" t="str">
        <x:v>H3B_ATTEMPT005</x:v>
      </x:c>
      <x:c r="C172" s="43" t="str">
        <x:v>BASE</x:v>
      </x:c>
      <x:c r="D172" s="43" t="str">
        <x:v>RMB_MILLION</x:v>
      </x:c>
      <x:c r="E172" s="43" t="n">
        <x:v>664184.62663046</x:v>
      </x:c>
      <x:c r="F172" s="43" t="n">
        <x:v>2030</x:v>
      </x:c>
      <x:c r="G172" s="39"/>
      <x:c r="H172" s="39"/>
    </x:row>
    <x:row r="173">
      <x:c r="A173" s="43" t="str">
        <x:v>IS_OTHER_INCOME</x:v>
      </x:c>
      <x:c r="B173" s="43" t="str">
        <x:v>H3B_ATTEMPT005</x:v>
      </x:c>
      <x:c r="C173" s="43" t="str">
        <x:v>BASE</x:v>
      </x:c>
      <x:c r="D173" s="43" t="str">
        <x:v>RMB_MILLION</x:v>
      </x:c>
      <x:c r="E173" s="43" t="n">
        <x:v>3671.9114991</x:v>
      </x:c>
      <x:c r="F173" s="43" t="n">
        <x:v>2030</x:v>
      </x:c>
      <x:c r="G173" s="39"/>
      <x:c r="H173" s="39"/>
    </x:row>
    <x:row r="174">
      <x:c r="A174" s="43" t="str">
        <x:v>IS_PBT</x:v>
      </x:c>
      <x:c r="B174" s="43" t="str">
        <x:v>H3B_ATTEMPT005</x:v>
      </x:c>
      <x:c r="C174" s="43" t="str">
        <x:v>BASE</x:v>
      </x:c>
      <x:c r="D174" s="43" t="str">
        <x:v>RMB_MILLION</x:v>
      </x:c>
      <x:c r="E174" s="43" t="n">
        <x:v>66860.14291882</x:v>
      </x:c>
      <x:c r="F174" s="43" t="n">
        <x:v>2030</x:v>
      </x:c>
      <x:c r="G174" s="39"/>
      <x:c r="H174" s="39"/>
    </x:row>
    <x:row r="175">
      <x:c r="A175" s="43" t="str">
        <x:v>IS_RD_EXPENSE</x:v>
      </x:c>
      <x:c r="B175" s="43" t="str">
        <x:v>H3B_ATTEMPT005</x:v>
      </x:c>
      <x:c r="C175" s="43" t="str">
        <x:v>BASE</x:v>
      </x:c>
      <x:c r="D175" s="43" t="str">
        <x:v>RMB_MILLION</x:v>
      </x:c>
      <x:c r="E175" s="43" t="n">
        <x:v>-24767.14325365</x:v>
      </x:c>
      <x:c r="F175" s="43" t="n">
        <x:v>2030</x:v>
      </x:c>
      <x:c r="G175" s="39"/>
      <x:c r="H175" s="39"/>
    </x:row>
    <x:row r="176">
      <x:c r="A176" s="43" t="str">
        <x:v>IS_SELLING_EXPENSE</x:v>
      </x:c>
      <x:c r="B176" s="43" t="str">
        <x:v>H3B_ATTEMPT005</x:v>
      </x:c>
      <x:c r="C176" s="43" t="str">
        <x:v>BASE</x:v>
      </x:c>
      <x:c r="D176" s="43" t="str">
        <x:v>RMB_MILLION</x:v>
      </x:c>
      <x:c r="E176" s="43" t="n">
        <x:v>-61912.17746264</x:v>
      </x:c>
      <x:c r="F176" s="43" t="n">
        <x:v>2030</x:v>
      </x:c>
      <x:c r="G176" s="39"/>
      <x:c r="H176" s="39"/>
    </x:row>
    <x:row r="177">
      <x:c r="A177" s="43" t="str">
        <x:v>IS_TAXES_SURCHARGES</x:v>
      </x:c>
      <x:c r="B177" s="43" t="str">
        <x:v>H3B_ATTEMPT005</x:v>
      </x:c>
      <x:c r="C177" s="43" t="str">
        <x:v>BASE</x:v>
      </x:c>
      <x:c r="D177" s="43" t="str">
        <x:v>RMB_MILLION</x:v>
      </x:c>
      <x:c r="E177" s="43" t="n">
        <x:v>-3226.38554436</x:v>
      </x:c>
      <x:c r="F177" s="43" t="n">
        <x:v>2030</x:v>
      </x:c>
      <x:c r="G177" s="39"/>
      <x:c r="H177" s="39"/>
    </x:row>
    <x:row r="178">
      <x:c r="A178" s="43" t="str">
        <x:v>IS_TOTAL_REVENUE</x:v>
      </x:c>
      <x:c r="B178" s="43" t="str">
        <x:v>H3B_ATTEMPT005</x:v>
      </x:c>
      <x:c r="C178" s="43" t="str">
        <x:v>BASE</x:v>
      </x:c>
      <x:c r="D178" s="43" t="str">
        <x:v>RMB_MILLION</x:v>
      </x:c>
      <x:c r="E178" s="43" t="n">
        <x:v>667168.5729733</x:v>
      </x:c>
      <x:c r="F178" s="43" t="n">
        <x:v>2030</x:v>
      </x:c>
      <x:c r="G178" s="39"/>
      <x:c r="H178" s="39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6.75" hidden="0" customWidth="1"/>
    <x:col min="2" max="2" width="14.380000114440918" hidden="0" customWidth="1"/>
    <x:col min="3" max="3" width="7.130000114440918" hidden="0" customWidth="1"/>
    <x:col min="4" max="4" width="11.5" hidden="0" customWidth="1"/>
    <x:col min="5" max="5" width="10.380000114440918" hidden="0" customWidth="1"/>
    <x:col min="6" max="6" width="4.25" hidden="0" customWidth="1"/>
  </x:cols>
  <x:sheetData>
    <x:row r="1">
      <x:c r="A1" s="37" t="str">
        <x:v>Historical BS</x:v>
      </x:c>
      <x:c r="B1" s="37"/>
      <x:c r="C1" s="37"/>
      <x:c r="D1" s="37"/>
      <x:c r="E1" s="37"/>
      <x:c r="F1" s="37"/>
      <x:c r="G1" s="37"/>
      <x:c r="H1" s="37"/>
    </x:row>
    <x:row r="2">
      <x:c r="A2" s="39"/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2" t="str">
        <x:v>Metric_ID</x:v>
      </x:c>
      <x:c r="B4" s="42" t="str">
        <x:v>Owner</x:v>
      </x:c>
      <x:c r="C4" s="42" t="str">
        <x:v>Scenario</x:v>
      </x:c>
      <x:c r="D4" s="42" t="str">
        <x:v>Unit</x:v>
      </x:c>
      <x:c r="E4" s="42" t="str">
        <x:v>Value</x:v>
      </x:c>
      <x:c r="F4" s="42" t="str">
        <x:v>Year</x:v>
      </x:c>
      <x:c r="G4" s="39"/>
      <x:c r="H4" s="39"/>
    </x:row>
    <x:row r="5">
      <x:c r="A5" s="43" t="str">
        <x:v>BS_AP</x:v>
      </x:c>
      <x:c r="B5" s="43" t="str">
        <x:v>H1_CERTIFIED</x:v>
      </x:c>
      <x:c r="C5" s="43" t="str">
        <x:v>BASE</x:v>
      </x:c>
      <x:c r="D5" s="43" t="str">
        <x:v>RMB_MILLION</x:v>
      </x:c>
      <x:c r="E5" s="43" t="n">
        <x:v>103680.491</x:v>
      </x:c>
      <x:c r="F5" s="43" t="n">
        <x:v>2025</x:v>
      </x:c>
      <x:c r="G5" s="39"/>
      <x:c r="H5" s="39"/>
    </x:row>
    <x:row r="6">
      <x:c r="A6" s="43" t="str">
        <x:v>BS_AR</x:v>
      </x:c>
      <x:c r="B6" s="43" t="str">
        <x:v>H1_CERTIFIED</x:v>
      </x:c>
      <x:c r="C6" s="43" t="str">
        <x:v>BASE</x:v>
      </x:c>
      <x:c r="D6" s="43" t="str">
        <x:v>RMB_MILLION</x:v>
      </x:c>
      <x:c r="E6" s="43" t="n">
        <x:v>40450.097</x:v>
      </x:c>
      <x:c r="F6" s="43" t="n">
        <x:v>2025</x:v>
      </x:c>
      <x:c r="G6" s="39"/>
      <x:c r="H6" s="39"/>
    </x:row>
    <x:row r="7">
      <x:c r="A7" s="43" t="str">
        <x:v>BS_CAPITAL_RESERVE</x:v>
      </x:c>
      <x:c r="B7" s="43" t="str">
        <x:v>H1_CERTIFIED</x:v>
      </x:c>
      <x:c r="C7" s="43" t="str">
        <x:v>BASE</x:v>
      </x:c>
      <x:c r="D7" s="43" t="str">
        <x:v>RMB_MILLION</x:v>
      </x:c>
      <x:c r="E7" s="43" t="n">
        <x:v>45350.72</x:v>
      </x:c>
      <x:c r="F7" s="43" t="n">
        <x:v>2025</x:v>
      </x:c>
      <x:c r="G7" s="39"/>
      <x:c r="H7" s="39"/>
    </x:row>
    <x:row r="8">
      <x:c r="A8" s="43" t="str">
        <x:v>BS_CASH</x:v>
      </x:c>
      <x:c r="B8" s="43" t="str">
        <x:v>H1_CERTIFIED</x:v>
      </x:c>
      <x:c r="C8" s="43" t="str">
        <x:v>BASE</x:v>
      </x:c>
      <x:c r="D8" s="43" t="str">
        <x:v>RMB_MILLION</x:v>
      </x:c>
      <x:c r="E8" s="43" t="n">
        <x:v>85247.15</x:v>
      </x:c>
      <x:c r="F8" s="43" t="n">
        <x:v>2025</x:v>
      </x:c>
      <x:c r="G8" s="39"/>
      <x:c r="H8" s="39"/>
    </x:row>
    <x:row r="9">
      <x:c r="A9" s="43" t="str">
        <x:v>BS_CASH_TAXONOMY_OTHER</x:v>
      </x:c>
      <x:c r="B9" s="43" t="str">
        <x:v>H1_CERTIFIED</x:v>
      </x:c>
      <x:c r="C9" s="43" t="str">
        <x:v>BASE</x:v>
      </x:c>
      <x:c r="D9" s="43" t="str">
        <x:v>RMB_MILLION</x:v>
      </x:c>
      <x:c r="E9" s="43" t="n">
        <x:v>80.323</x:v>
      </x:c>
      <x:c r="F9" s="43" t="n">
        <x:v>2025</x:v>
      </x:c>
      <x:c r="G9" s="39"/>
      <x:c r="H9" s="39"/>
    </x:row>
    <x:row r="10">
      <x:c r="A10" s="43" t="str">
        <x:v>BS_CIP</x:v>
      </x:c>
      <x:c r="B10" s="43" t="str">
        <x:v>H1_CERTIFIED</x:v>
      </x:c>
      <x:c r="C10" s="43" t="str">
        <x:v>BASE</x:v>
      </x:c>
      <x:c r="D10" s="43" t="str">
        <x:v>RMB_MILLION</x:v>
      </x:c>
      <x:c r="E10" s="43" t="n">
        <x:v>3054.828</x:v>
      </x:c>
      <x:c r="F10" s="43" t="n">
        <x:v>2025</x:v>
      </x:c>
      <x:c r="G10" s="39"/>
      <x:c r="H10" s="39"/>
    </x:row>
    <x:row r="11">
      <x:c r="A11" s="43" t="str">
        <x:v>BS_CONTRACT_ASSETS</x:v>
      </x:c>
      <x:c r="B11" s="43" t="str">
        <x:v>H1_CERTIFIED</x:v>
      </x:c>
      <x:c r="C11" s="43" t="str">
        <x:v>BASE</x:v>
      </x:c>
      <x:c r="D11" s="43" t="str">
        <x:v>RMB_MILLION</x:v>
      </x:c>
      <x:c r="E11" s="43" t="n">
        <x:v>4268.501</x:v>
      </x:c>
      <x:c r="F11" s="43" t="n">
        <x:v>2025</x:v>
      </x:c>
      <x:c r="G11" s="39"/>
      <x:c r="H11" s="39"/>
    </x:row>
    <x:row r="12">
      <x:c r="A12" s="43" t="str">
        <x:v>BS_CONTRACT_LIABILITIES</x:v>
      </x:c>
      <x:c r="B12" s="43" t="str">
        <x:v>H1_CERTIFIED</x:v>
      </x:c>
      <x:c r="C12" s="43" t="str">
        <x:v>BASE</x:v>
      </x:c>
      <x:c r="D12" s="43" t="str">
        <x:v>RMB_MILLION</x:v>
      </x:c>
      <x:c r="E12" s="43" t="n">
        <x:v>46993.06</x:v>
      </x:c>
      <x:c r="F12" s="43" t="n">
        <x:v>2025</x:v>
      </x:c>
      <x:c r="G12" s="39"/>
      <x:c r="H12" s="39"/>
    </x:row>
    <x:row r="13">
      <x:c r="A13" s="43" t="str">
        <x:v>BS_CURRENT_PORTION_DEBT</x:v>
      </x:c>
      <x:c r="B13" s="43" t="str">
        <x:v>H1_CERTIFIED</x:v>
      </x:c>
      <x:c r="C13" s="43" t="str">
        <x:v>BASE</x:v>
      </x:c>
      <x:c r="D13" s="43" t="str">
        <x:v>RMB_MILLION</x:v>
      </x:c>
      <x:c r="E13" s="43" t="n">
        <x:v>5821.777</x:v>
      </x:c>
      <x:c r="F13" s="43" t="n">
        <x:v>2025</x:v>
      </x:c>
      <x:c r="G13" s="39"/>
      <x:c r="H13" s="39"/>
    </x:row>
    <x:row r="14">
      <x:c r="A14" s="43" t="str">
        <x:v>BS_CURRENT_PORTION_NONCURRENT_ASSETS</x:v>
      </x:c>
      <x:c r="B14" s="43" t="str">
        <x:v>H1_CERTIFIED</x:v>
      </x:c>
      <x:c r="C14" s="43" t="str">
        <x:v>BASE</x:v>
      </x:c>
      <x:c r="D14" s="43" t="str">
        <x:v>RMB_MILLION</x:v>
      </x:c>
      <x:c r="E14" s="43" t="n">
        <x:v>155618.201</x:v>
      </x:c>
      <x:c r="F14" s="43" t="n">
        <x:v>2025</x:v>
      </x:c>
      <x:c r="G14" s="39"/>
      <x:c r="H14" s="39"/>
    </x:row>
    <x:row r="15">
      <x:c r="A15" s="43" t="str">
        <x:v>BS_CURRENT_PORTION_NONCURRENT_ASSETS_FINANCE</x:v>
      </x:c>
      <x:c r="B15" s="43" t="str">
        <x:v>H1_CERTIFIED</x:v>
      </x:c>
      <x:c r="C15" s="43" t="str">
        <x:v>BASE</x:v>
      </x:c>
      <x:c r="D15" s="43" t="str">
        <x:v>RMB_MILLION</x:v>
      </x:c>
      <x:c r="E15" s="43" t="n">
        <x:v>255.673</x:v>
      </x:c>
      <x:c r="F15" s="43" t="n">
        <x:v>2025</x:v>
      </x:c>
      <x:c r="G15" s="39"/>
      <x:c r="H15" s="39"/>
    </x:row>
    <x:row r="16">
      <x:c r="A16" s="43" t="str">
        <x:v>BS_CURRENT_PORTION_NONCURRENT_ASSETS_TREASURY</x:v>
      </x:c>
      <x:c r="B16" s="43" t="str">
        <x:v>H1_CERTIFIED</x:v>
      </x:c>
      <x:c r="C16" s="43" t="str">
        <x:v>BASE</x:v>
      </x:c>
      <x:c r="D16" s="43" t="str">
        <x:v>RMB_MILLION</x:v>
      </x:c>
      <x:c r="E16" s="43" t="n">
        <x:v>155362.528</x:v>
      </x:c>
      <x:c r="F16" s="43" t="n">
        <x:v>2025</x:v>
      </x:c>
      <x:c r="G16" s="39"/>
      <x:c r="H16" s="39"/>
    </x:row>
    <x:row r="17">
      <x:c r="A17" s="43" t="str">
        <x:v>BS_CUSTOMER_DEPOSITS</x:v>
      </x:c>
      <x:c r="B17" s="43" t="str">
        <x:v>H1_CERTIFIED</x:v>
      </x:c>
      <x:c r="C17" s="43" t="str">
        <x:v>BASE</x:v>
      </x:c>
      <x:c r="D17" s="43" t="str">
        <x:v>RMB_MILLION</x:v>
      </x:c>
      <x:c r="E17" s="43" t="n">
        <x:v>134.11</x:v>
      </x:c>
      <x:c r="F17" s="43" t="n">
        <x:v>2025</x:v>
      </x:c>
      <x:c r="G17" s="39"/>
      <x:c r="H17" s="39"/>
    </x:row>
    <x:row r="18">
      <x:c r="A18" s="43" t="str">
        <x:v>BS_DERIVATIVE_FINANCIAL_ASSETS</x:v>
      </x:c>
      <x:c r="B18" s="43" t="str">
        <x:v>H1_CERTIFIED</x:v>
      </x:c>
      <x:c r="C18" s="43" t="str">
        <x:v>BASE</x:v>
      </x:c>
      <x:c r="D18" s="43" t="str">
        <x:v>RMB_MILLION</x:v>
      </x:c>
      <x:c r="E18" s="43" t="n">
        <x:v>2223.159</x:v>
      </x:c>
      <x:c r="F18" s="43" t="n">
        <x:v>2025</x:v>
      </x:c>
      <x:c r="G18" s="39"/>
      <x:c r="H18" s="39"/>
    </x:row>
    <x:row r="19">
      <x:c r="A19" s="43" t="str">
        <x:v>BS_DERIVATIVE_LIABILITIES</x:v>
      </x:c>
      <x:c r="B19" s="43" t="str">
        <x:v>H1_CERTIFIED</x:v>
      </x:c>
      <x:c r="C19" s="43" t="str">
        <x:v>BASE</x:v>
      </x:c>
      <x:c r="D19" s="43" t="str">
        <x:v>RMB_MILLION</x:v>
      </x:c>
      <x:c r="E19" s="43" t="n">
        <x:v>850.959</x:v>
      </x:c>
      <x:c r="F19" s="43" t="n">
        <x:v>2025</x:v>
      </x:c>
      <x:c r="G19" s="39"/>
      <x:c r="H19" s="39"/>
    </x:row>
    <x:row r="20">
      <x:c r="A20" s="43" t="str">
        <x:v>BS_EMPLOYEE_COMP</x:v>
      </x:c>
      <x:c r="B20" s="43" t="str">
        <x:v>H1_CERTIFIED</x:v>
      </x:c>
      <x:c r="C20" s="43" t="str">
        <x:v>BASE</x:v>
      </x:c>
      <x:c r="D20" s="43" t="str">
        <x:v>RMB_MILLION</x:v>
      </x:c>
      <x:c r="E20" s="43" t="n">
        <x:v>9645.445</x:v>
      </x:c>
      <x:c r="F20" s="43" t="n">
        <x:v>2025</x:v>
      </x:c>
      <x:c r="G20" s="39"/>
      <x:c r="H20" s="39"/>
    </x:row>
    <x:row r="21">
      <x:c r="A21" s="43" t="str">
        <x:v>BS_GOODWILL</x:v>
      </x:c>
      <x:c r="B21" s="43" t="str">
        <x:v>H1_CERTIFIED</x:v>
      </x:c>
      <x:c r="C21" s="43" t="str">
        <x:v>BASE</x:v>
      </x:c>
      <x:c r="D21" s="43" t="str">
        <x:v>RMB_MILLION</x:v>
      </x:c>
      <x:c r="E21" s="43" t="n">
        <x:v>34256.859</x:v>
      </x:c>
      <x:c r="F21" s="43" t="n">
        <x:v>2025</x:v>
      </x:c>
      <x:c r="G21" s="39"/>
      <x:c r="H21" s="39"/>
    </x:row>
    <x:row r="22">
      <x:c r="A22" s="43" t="str">
        <x:v>BS_INCOME_TAX_PAYABLE</x:v>
      </x:c>
      <x:c r="B22" s="43" t="str">
        <x:v>H1_CERTIFIED</x:v>
      </x:c>
      <x:c r="C22" s="43" t="str">
        <x:v>BASE</x:v>
      </x:c>
      <x:c r="D22" s="43" t="str">
        <x:v>RMB_MILLION</x:v>
      </x:c>
      <x:c r="E22" s="43" t="n">
        <x:v>4485.221</x:v>
      </x:c>
      <x:c r="F22" s="43" t="n">
        <x:v>2025</x:v>
      </x:c>
      <x:c r="G22" s="39"/>
      <x:c r="H22" s="39"/>
    </x:row>
    <x:row r="23">
      <x:c r="A23" s="43" t="str">
        <x:v>BS_INTANGIBLES</x:v>
      </x:c>
      <x:c r="B23" s="43" t="str">
        <x:v>H1_CERTIFIED</x:v>
      </x:c>
      <x:c r="C23" s="43" t="str">
        <x:v>BASE</x:v>
      </x:c>
      <x:c r="D23" s="43" t="str">
        <x:v>RMB_MILLION</x:v>
      </x:c>
      <x:c r="E23" s="43" t="n">
        <x:v>21618.86</x:v>
      </x:c>
      <x:c r="F23" s="43" t="n">
        <x:v>2025</x:v>
      </x:c>
      <x:c r="G23" s="39"/>
      <x:c r="H23" s="39"/>
    </x:row>
    <x:row r="24">
      <x:c r="A24" s="43" t="str">
        <x:v>BS_INVENTORY</x:v>
      </x:c>
      <x:c r="B24" s="43" t="str">
        <x:v>H1_CERTIFIED</x:v>
      </x:c>
      <x:c r="C24" s="43" t="str">
        <x:v>BASE</x:v>
      </x:c>
      <x:c r="D24" s="43" t="str">
        <x:v>RMB_MILLION</x:v>
      </x:c>
      <x:c r="E24" s="43" t="n">
        <x:v>64628.834</x:v>
      </x:c>
      <x:c r="F24" s="43" t="n">
        <x:v>2025</x:v>
      </x:c>
      <x:c r="G24" s="39"/>
      <x:c r="H24" s="39"/>
    </x:row>
    <x:row r="25">
      <x:c r="A25" s="43" t="str">
        <x:v>BS_LOANS_ADVANCES_CURRENT</x:v>
      </x:c>
      <x:c r="B25" s="43" t="str">
        <x:v>H1_CERTIFIED</x:v>
      </x:c>
      <x:c r="C25" s="43" t="str">
        <x:v>BASE</x:v>
      </x:c>
      <x:c r="D25" s="43" t="str">
        <x:v>RMB_MILLION</x:v>
      </x:c>
      <x:c r="E25" s="43" t="n">
        <x:v>11779.217</x:v>
      </x:c>
      <x:c r="F25" s="43" t="n">
        <x:v>2025</x:v>
      </x:c>
      <x:c r="G25" s="39"/>
      <x:c r="H25" s="39"/>
    </x:row>
    <x:row r="26">
      <x:c r="A26" s="43" t="str">
        <x:v>BS_LONG_TERM_BORROWINGS</x:v>
      </x:c>
      <x:c r="B26" s="43" t="str">
        <x:v>H1_CERTIFIED</x:v>
      </x:c>
      <x:c r="C26" s="43" t="str">
        <x:v>BASE</x:v>
      </x:c>
      <x:c r="D26" s="43" t="str">
        <x:v>RMB_MILLION</x:v>
      </x:c>
      <x:c r="E26" s="43" t="n">
        <x:v>12658.843</x:v>
      </x:c>
      <x:c r="F26" s="43" t="n">
        <x:v>2025</x:v>
      </x:c>
      <x:c r="G26" s="39"/>
      <x:c r="H26" s="39"/>
    </x:row>
    <x:row r="27">
      <x:c r="A27" s="43" t="str">
        <x:v>BS_LONG_TERM_INVESTMENTS</x:v>
      </x:c>
      <x:c r="B27" s="43" t="str">
        <x:v>H1_CERTIFIED</x:v>
      </x:c>
      <x:c r="C27" s="43" t="str">
        <x:v>BASE</x:v>
      </x:c>
      <x:c r="D27" s="43" t="str">
        <x:v>RMB_MILLION</x:v>
      </x:c>
      <x:c r="E27" s="43" t="n">
        <x:v>4775.044</x:v>
      </x:c>
      <x:c r="F27" s="43" t="n">
        <x:v>2025</x:v>
      </x:c>
      <x:c r="G27" s="39"/>
      <x:c r="H27" s="39"/>
    </x:row>
    <x:row r="28">
      <x:c r="A28" s="43" t="str">
        <x:v>BS_NCI</x:v>
      </x:c>
      <x:c r="B28" s="43" t="str">
        <x:v>H1_CERTIFIED</x:v>
      </x:c>
      <x:c r="C28" s="43" t="str">
        <x:v>BASE</x:v>
      </x:c>
      <x:c r="D28" s="43" t="str">
        <x:v>RMB_MILLION</x:v>
      </x:c>
      <x:c r="E28" s="43" t="n">
        <x:v>13202.918</x:v>
      </x:c>
      <x:c r="F28" s="43" t="n">
        <x:v>2025</x:v>
      </x:c>
      <x:c r="G28" s="39"/>
      <x:c r="H28" s="39"/>
    </x:row>
    <x:row r="29">
      <x:c r="A29" s="43" t="str">
        <x:v>BS_NOTES_PAYABLE</x:v>
      </x:c>
      <x:c r="B29" s="43" t="str">
        <x:v>H1_CERTIFIED</x:v>
      </x:c>
      <x:c r="C29" s="43" t="str">
        <x:v>BASE</x:v>
      </x:c>
      <x:c r="D29" s="43" t="str">
        <x:v>RMB_MILLION</x:v>
      </x:c>
      <x:c r="E29" s="43" t="n">
        <x:v>27121.881</x:v>
      </x:c>
      <x:c r="F29" s="43" t="n">
        <x:v>2025</x:v>
      </x:c>
      <x:c r="G29" s="39"/>
      <x:c r="H29" s="39"/>
    </x:row>
    <x:row r="30">
      <x:c r="A30" s="43" t="str">
        <x:v>BS_NOTES_RECEIVABLE</x:v>
      </x:c>
      <x:c r="B30" s="43" t="str">
        <x:v>H1_CERTIFIED</x:v>
      </x:c>
      <x:c r="C30" s="43" t="str">
        <x:v>BASE</x:v>
      </x:c>
      <x:c r="D30" s="43" t="str">
        <x:v>RMB_MILLION</x:v>
      </x:c>
      <x:c r="E30" s="43" t="n">
        <x:v>5246.763</x:v>
      </x:c>
      <x:c r="F30" s="43" t="n">
        <x:v>2025</x:v>
      </x:c>
      <x:c r="G30" s="39"/>
      <x:c r="H30" s="39"/>
    </x:row>
    <x:row r="31">
      <x:c r="A31" s="43" t="str">
        <x:v>BS_OTHER_CURRENT_ASSETS</x:v>
      </x:c>
      <x:c r="B31" s="43" t="str">
        <x:v>H1_CERTIFIED</x:v>
      </x:c>
      <x:c r="C31" s="43" t="str">
        <x:v>BASE</x:v>
      </x:c>
      <x:c r="D31" s="43" t="str">
        <x:v>RMB_MILLION</x:v>
      </x:c>
      <x:c r="E31" s="43" t="n">
        <x:v>25376.475</x:v>
      </x:c>
      <x:c r="F31" s="43" t="n">
        <x:v>2025</x:v>
      </x:c>
      <x:c r="G31" s="39"/>
      <x:c r="H31" s="39"/>
    </x:row>
    <x:row r="32">
      <x:c r="A32" s="43" t="str">
        <x:v>BS_OTHER_CURRENT_ASSETS_HEDGE</x:v>
      </x:c>
      <x:c r="B32" s="43" t="str">
        <x:v>H1_CERTIFIED</x:v>
      </x:c>
      <x:c r="C32" s="43" t="str">
        <x:v>BASE</x:v>
      </x:c>
      <x:c r="D32" s="43" t="str">
        <x:v>RMB_MILLION</x:v>
      </x:c>
      <x:c r="E32" s="43" t="n">
        <x:v>3201.395</x:v>
      </x:c>
      <x:c r="F32" s="43" t="n">
        <x:v>2025</x:v>
      </x:c>
      <x:c r="G32" s="39"/>
      <x:c r="H32" s="39"/>
    </x:row>
    <x:row r="33">
      <x:c r="A33" s="43" t="str">
        <x:v>BS_OTHER_CURRENT_ASSETS_OPERATING</x:v>
      </x:c>
      <x:c r="B33" s="43" t="str">
        <x:v>H1_CERTIFIED</x:v>
      </x:c>
      <x:c r="C33" s="43" t="str">
        <x:v>BASE</x:v>
      </x:c>
      <x:c r="D33" s="43" t="str">
        <x:v>RMB_MILLION</x:v>
      </x:c>
      <x:c r="E33" s="43" t="n">
        <x:v>20747.946</x:v>
      </x:c>
      <x:c r="F33" s="43" t="n">
        <x:v>2025</x:v>
      </x:c>
      <x:c r="G33" s="39"/>
      <x:c r="H33" s="39"/>
    </x:row>
    <x:row r="34">
      <x:c r="A34" s="43" t="str">
        <x:v>BS_OTHER_CURRENT_ASSETS_TREASURY</x:v>
      </x:c>
      <x:c r="B34" s="43" t="str">
        <x:v>H1_CERTIFIED</x:v>
      </x:c>
      <x:c r="C34" s="43" t="str">
        <x:v>BASE</x:v>
      </x:c>
      <x:c r="D34" s="43" t="str">
        <x:v>RMB_MILLION</x:v>
      </x:c>
      <x:c r="E34" s="43" t="n">
        <x:v>1427.134</x:v>
      </x:c>
      <x:c r="F34" s="43" t="n">
        <x:v>2025</x:v>
      </x:c>
      <x:c r="G34" s="39"/>
      <x:c r="H34" s="39"/>
    </x:row>
    <x:row r="35">
      <x:c r="A35" s="43" t="str">
        <x:v>BS_OTHER_CURRENT_LIABILITIES</x:v>
      </x:c>
      <x:c r="B35" s="43" t="str">
        <x:v>H1_CERTIFIED</x:v>
      </x:c>
      <x:c r="C35" s="43" t="str">
        <x:v>BASE</x:v>
      </x:c>
      <x:c r="D35" s="43" t="str">
        <x:v>RMB_MILLION</x:v>
      </x:c>
      <x:c r="E35" s="43" t="n">
        <x:v>92537.419</x:v>
      </x:c>
      <x:c r="F35" s="43" t="n">
        <x:v>2025</x:v>
      </x:c>
      <x:c r="G35" s="39"/>
      <x:c r="H35" s="39"/>
    </x:row>
    <x:row r="36">
      <x:c r="A36" s="43" t="str">
        <x:v>BS_OTHER_CURRENT_LIABILITIES_HEDGE</x:v>
      </x:c>
      <x:c r="B36" s="43" t="str">
        <x:v>H1_CERTIFIED</x:v>
      </x:c>
      <x:c r="C36" s="43" t="str">
        <x:v>BASE</x:v>
      </x:c>
      <x:c r="D36" s="43" t="str">
        <x:v>RMB_MILLION</x:v>
      </x:c>
      <x:c r="E36" s="43" t="n">
        <x:v>21.48</x:v>
      </x:c>
      <x:c r="F36" s="43" t="n">
        <x:v>2025</x:v>
      </x:c>
      <x:c r="G36" s="39"/>
      <x:c r="H36" s="39"/>
    </x:row>
    <x:row r="37">
      <x:c r="A37" s="43" t="str">
        <x:v>BS_OTHER_CURRENT_LIABILITIES_OPERATING</x:v>
      </x:c>
      <x:c r="B37" s="43" t="str">
        <x:v>H1_CERTIFIED</x:v>
      </x:c>
      <x:c r="C37" s="43" t="str">
        <x:v>BASE</x:v>
      </x:c>
      <x:c r="D37" s="43" t="str">
        <x:v>RMB_MILLION</x:v>
      </x:c>
      <x:c r="E37" s="43" t="n">
        <x:v>92515.939</x:v>
      </x:c>
      <x:c r="F37" s="43" t="n">
        <x:v>2025</x:v>
      </x:c>
      <x:c r="G37" s="39"/>
      <x:c r="H37" s="39"/>
    </x:row>
    <x:row r="38">
      <x:c r="A38" s="43" t="str">
        <x:v>BS_OTHER_NONCURRENT_FINANCIAL_ASSETS</x:v>
      </x:c>
      <x:c r="B38" s="43" t="str">
        <x:v>H1_CERTIFIED</x:v>
      </x:c>
      <x:c r="C38" s="43" t="str">
        <x:v>BASE</x:v>
      </x:c>
      <x:c r="D38" s="43" t="str">
        <x:v>RMB_MILLION</x:v>
      </x:c>
      <x:c r="E38" s="43" t="n">
        <x:v>4786.089</x:v>
      </x:c>
      <x:c r="F38" s="43" t="n">
        <x:v>2025</x:v>
      </x:c>
      <x:c r="G38" s="39"/>
      <x:c r="H38" s="39"/>
    </x:row>
    <x:row r="39">
      <x:c r="A39" s="43" t="str">
        <x:v>BS_OTHER_PAYABLES</x:v>
      </x:c>
      <x:c r="B39" s="43" t="str">
        <x:v>H1_CERTIFIED</x:v>
      </x:c>
      <x:c r="C39" s="43" t="str">
        <x:v>BASE</x:v>
      </x:c>
      <x:c r="D39" s="43" t="str">
        <x:v>RMB_MILLION</x:v>
      </x:c>
      <x:c r="E39" s="43" t="n">
        <x:v>4823.476</x:v>
      </x:c>
      <x:c r="F39" s="43" t="n">
        <x:v>2025</x:v>
      </x:c>
      <x:c r="G39" s="39"/>
      <x:c r="H39" s="39"/>
    </x:row>
    <x:row r="40">
      <x:c r="A40" s="43" t="str">
        <x:v>BS_OTHER_RECEIVABLES</x:v>
      </x:c>
      <x:c r="B40" s="43" t="str">
        <x:v>H1_CERTIFIED</x:v>
      </x:c>
      <x:c r="C40" s="43" t="str">
        <x:v>BASE</x:v>
      </x:c>
      <x:c r="D40" s="43" t="str">
        <x:v>RMB_MILLION</x:v>
      </x:c>
      <x:c r="E40" s="43" t="n">
        <x:v>3190.591</x:v>
      </x:c>
      <x:c r="F40" s="43" t="n">
        <x:v>2025</x:v>
      </x:c>
      <x:c r="G40" s="39"/>
      <x:c r="H40" s="39"/>
    </x:row>
    <x:row r="41">
      <x:c r="A41" s="43" t="str">
        <x:v>BS_OTHER_RESERVES</x:v>
      </x:c>
      <x:c r="B41" s="43" t="str">
        <x:v>H1_CERTIFIED</x:v>
      </x:c>
      <x:c r="C41" s="43" t="str">
        <x:v>BASE</x:v>
      </x:c>
      <x:c r="D41" s="43" t="str">
        <x:v>RMB_MILLION</x:v>
      </x:c>
      <x:c r="E41" s="43" t="n">
        <x:v>11196.537</x:v>
      </x:c>
      <x:c r="F41" s="43" t="n">
        <x:v>2025</x:v>
      </x:c>
      <x:c r="G41" s="39"/>
      <x:c r="H41" s="39"/>
    </x:row>
    <x:row r="42">
      <x:c r="A42" s="43" t="str">
        <x:v>BS_OTHER_TAXES_PAYABLE</x:v>
      </x:c>
      <x:c r="B42" s="43" t="str">
        <x:v>H1_CERTIFIED</x:v>
      </x:c>
      <x:c r="C42" s="43" t="str">
        <x:v>BASE</x:v>
      </x:c>
      <x:c r="D42" s="43" t="str">
        <x:v>RMB_MILLION</x:v>
      </x:c>
      <x:c r="E42" s="43" t="n">
        <x:v>2678.872</x:v>
      </x:c>
      <x:c r="F42" s="43" t="n">
        <x:v>2025</x:v>
      </x:c>
      <x:c r="G42" s="39"/>
      <x:c r="H42" s="39"/>
    </x:row>
    <x:row r="43">
      <x:c r="A43" s="43" t="str">
        <x:v>BS_PARENT_EQUITY</x:v>
      </x:c>
      <x:c r="B43" s="43" t="str">
        <x:v>H1_CERTIFIED</x:v>
      </x:c>
      <x:c r="C43" s="43" t="str">
        <x:v>BASE</x:v>
      </x:c>
      <x:c r="D43" s="43" t="str">
        <x:v>RMB_MILLION</x:v>
      </x:c>
      <x:c r="E43" s="43" t="n">
        <x:v>223221.305</x:v>
      </x:c>
      <x:c r="F43" s="43" t="n">
        <x:v>2025</x:v>
      </x:c>
      <x:c r="G43" s="39"/>
      <x:c r="H43" s="39"/>
    </x:row>
    <x:row r="44">
      <x:c r="A44" s="43" t="str">
        <x:v>BS_PPE</x:v>
      </x:c>
      <x:c r="B44" s="43" t="str">
        <x:v>H1_CERTIFIED</x:v>
      </x:c>
      <x:c r="C44" s="43" t="str">
        <x:v>BASE</x:v>
      </x:c>
      <x:c r="D44" s="43" t="str">
        <x:v>RMB_MILLION</x:v>
      </x:c>
      <x:c r="E44" s="43" t="n">
        <x:v>44983.394</x:v>
      </x:c>
      <x:c r="F44" s="43" t="n">
        <x:v>2025</x:v>
      </x:c>
      <x:c r="G44" s="39"/>
      <x:c r="H44" s="39"/>
    </x:row>
    <x:row r="45">
      <x:c r="A45" s="43" t="str">
        <x:v>BS_PREPAYMENTS</x:v>
      </x:c>
      <x:c r="B45" s="43" t="str">
        <x:v>H1_CERTIFIED</x:v>
      </x:c>
      <x:c r="C45" s="43" t="str">
        <x:v>BASE</x:v>
      </x:c>
      <x:c r="D45" s="43" t="str">
        <x:v>RMB_MILLION</x:v>
      </x:c>
      <x:c r="E45" s="43" t="n">
        <x:v>2987.292</x:v>
      </x:c>
      <x:c r="F45" s="43" t="n">
        <x:v>2025</x:v>
      </x:c>
      <x:c r="G45" s="39"/>
      <x:c r="H45" s="39"/>
    </x:row>
    <x:row r="46">
      <x:c r="A46" s="43" t="str">
        <x:v>BS_RECEIVABLES_FINANCING</x:v>
      </x:c>
      <x:c r="B46" s="43" t="str">
        <x:v>H1_CERTIFIED</x:v>
      </x:c>
      <x:c r="C46" s="43" t="str">
        <x:v>BASE</x:v>
      </x:c>
      <x:c r="D46" s="43" t="str">
        <x:v>RMB_MILLION</x:v>
      </x:c>
      <x:c r="E46" s="43" t="n">
        <x:v>14935.344</x:v>
      </x:c>
      <x:c r="F46" s="43" t="n">
        <x:v>2025</x:v>
      </x:c>
      <x:c r="G46" s="39"/>
      <x:c r="H46" s="39"/>
    </x:row>
    <x:row r="47">
      <x:c r="A47" s="43" t="str">
        <x:v>BS_RESTRICTED_CASH</x:v>
      </x:c>
      <x:c r="B47" s="43" t="str">
        <x:v>H1_CERTIFIED</x:v>
      </x:c>
      <x:c r="C47" s="43" t="str">
        <x:v>BASE</x:v>
      </x:c>
      <x:c r="D47" s="43" t="str">
        <x:v>RMB_MILLION</x:v>
      </x:c>
      <x:c r="E47" s="43" t="n">
        <x:v>4715.545</x:v>
      </x:c>
      <x:c r="F47" s="43" t="n">
        <x:v>2025</x:v>
      </x:c>
      <x:c r="G47" s="39"/>
      <x:c r="H47" s="39"/>
    </x:row>
    <x:row r="48">
      <x:c r="A48" s="43" t="str">
        <x:v>BS_RETAINED_EARNINGS</x:v>
      </x:c>
      <x:c r="B48" s="43" t="str">
        <x:v>H1_CERTIFIED</x:v>
      </x:c>
      <x:c r="C48" s="43" t="str">
        <x:v>BASE</x:v>
      </x:c>
      <x:c r="D48" s="43" t="str">
        <x:v>RMB_MILLION</x:v>
      </x:c>
      <x:c r="E48" s="43" t="n">
        <x:v>167228.02</x:v>
      </x:c>
      <x:c r="F48" s="43" t="n">
        <x:v>2025</x:v>
      </x:c>
      <x:c r="G48" s="39"/>
      <x:c r="H48" s="39"/>
    </x:row>
    <x:row r="49">
      <x:c r="A49" s="43" t="str">
        <x:v>BS_SHARE_CAPITAL</x:v>
      </x:c>
      <x:c r="B49" s="43" t="str">
        <x:v>H1_CERTIFIED</x:v>
      </x:c>
      <x:c r="C49" s="43" t="str">
        <x:v>BASE</x:v>
      </x:c>
      <x:c r="D49" s="43" t="str">
        <x:v>RMB_MILLION</x:v>
      </x:c>
      <x:c r="E49" s="43" t="n">
        <x:v>7597.145</x:v>
      </x:c>
      <x:c r="F49" s="43" t="n">
        <x:v>2025</x:v>
      </x:c>
      <x:c r="G49" s="39"/>
      <x:c r="H49" s="39"/>
    </x:row>
    <x:row r="50">
      <x:c r="A50" s="43" t="str">
        <x:v>BS_SHORT_TERM_BORROWING</x:v>
      </x:c>
      <x:c r="B50" s="43" t="str">
        <x:v>H1_CERTIFIED</x:v>
      </x:c>
      <x:c r="C50" s="43" t="str">
        <x:v>BASE</x:v>
      </x:c>
      <x:c r="D50" s="43" t="str">
        <x:v>RMB_MILLION</x:v>
      </x:c>
      <x:c r="E50" s="43" t="n">
        <x:v>43904.55</x:v>
      </x:c>
      <x:c r="F50" s="43" t="n">
        <x:v>2025</x:v>
      </x:c>
      <x:c r="G50" s="39"/>
      <x:c r="H50" s="39"/>
    </x:row>
    <x:row r="51">
      <x:c r="A51" s="43" t="str">
        <x:v>BS_TAXES_PAYABLE</x:v>
      </x:c>
      <x:c r="B51" s="43" t="str">
        <x:v>H1_CERTIFIED</x:v>
      </x:c>
      <x:c r="C51" s="43" t="str">
        <x:v>BASE</x:v>
      </x:c>
      <x:c r="D51" s="43" t="str">
        <x:v>RMB_MILLION</x:v>
      </x:c>
      <x:c r="E51" s="43" t="n">
        <x:v>7164.093</x:v>
      </x:c>
      <x:c r="F51" s="43" t="n">
        <x:v>2025</x:v>
      </x:c>
      <x:c r="G51" s="39"/>
      <x:c r="H51" s="39"/>
    </x:row>
    <x:row r="52">
      <x:c r="A52" s="43" t="str">
        <x:v>BS_TERM_DEPOSITS</x:v>
      </x:c>
      <x:c r="B52" s="43" t="str">
        <x:v>H1_CERTIFIED</x:v>
      </x:c>
      <x:c r="C52" s="43" t="str">
        <x:v>BASE</x:v>
      </x:c>
      <x:c r="D52" s="43" t="str">
        <x:v>RMB_MILLION</x:v>
      </x:c>
      <x:c r="E52" s="43" t="n">
        <x:v>11942.612</x:v>
      </x:c>
      <x:c r="F52" s="43" t="n">
        <x:v>2025</x:v>
      </x:c>
      <x:c r="G52" s="39"/>
      <x:c r="H52" s="39"/>
    </x:row>
    <x:row r="53">
      <x:c r="A53" s="43" t="str">
        <x:v>BS_TOTAL_ASSETS</x:v>
      </x:c>
      <x:c r="B53" s="43" t="str">
        <x:v>H1_CERTIFIED</x:v>
      </x:c>
      <x:c r="C53" s="43" t="str">
        <x:v>BASE</x:v>
      </x:c>
      <x:c r="D53" s="43" t="str">
        <x:v>RMB_MILLION</x:v>
      </x:c>
      <x:c r="E53" s="43" t="n">
        <x:v>608791.766</x:v>
      </x:c>
      <x:c r="F53" s="43" t="n">
        <x:v>2025</x:v>
      </x:c>
      <x:c r="G53" s="39"/>
      <x:c r="H53" s="39"/>
    </x:row>
    <x:row r="54">
      <x:c r="A54" s="43" t="str">
        <x:v>BS_TOTAL_CURRENT_ASSETS</x:v>
      </x:c>
      <x:c r="B54" s="43" t="str">
        <x:v>H1_CERTIFIED</x:v>
      </x:c>
      <x:c r="C54" s="43" t="str">
        <x:v>BASE</x:v>
      </x:c>
      <x:c r="D54" s="43" t="str">
        <x:v>RMB_MILLION</x:v>
      </x:c>
      <x:c r="E54" s="43" t="n">
        <x:v>416662.341</x:v>
      </x:c>
      <x:c r="F54" s="43" t="n">
        <x:v>2025</x:v>
      </x:c>
      <x:c r="G54" s="39"/>
      <x:c r="H54" s="39"/>
    </x:row>
    <x:row r="55">
      <x:c r="A55" s="43" t="str">
        <x:v>BS_TOTAL_CURRENT_ASSETS_OTHER_IMMATERIAL_COMPONENTS</x:v>
      </x:c>
      <x:c r="B55" s="43" t="str">
        <x:v>H1_CERTIFIED</x:v>
      </x:c>
      <x:c r="C55" s="43" t="str">
        <x:v>BASE</x:v>
      </x:c>
      <x:c r="D55" s="43" t="str">
        <x:v>RMB_MILLION</x:v>
      </x:c>
      <x:c r="E55" s="43" t="n">
        <x:v>0</x:v>
      </x:c>
      <x:c r="F55" s="43" t="n">
        <x:v>2025</x:v>
      </x:c>
      <x:c r="G55" s="39"/>
      <x:c r="H55" s="39"/>
    </x:row>
    <x:row r="56">
      <x:c r="A56" s="43" t="str">
        <x:v>BS_TOTAL_CURRENT_LIABILITIES</x:v>
      </x:c>
      <x:c r="B56" s="43" t="str">
        <x:v>H1_CERTIFIED</x:v>
      </x:c>
      <x:c r="C56" s="43" t="str">
        <x:v>BASE</x:v>
      </x:c>
      <x:c r="D56" s="43" t="str">
        <x:v>RMB_MILLION</x:v>
      </x:c>
      <x:c r="E56" s="43" t="n">
        <x:v>343383.7</x:v>
      </x:c>
      <x:c r="F56" s="43" t="n">
        <x:v>2025</x:v>
      </x:c>
      <x:c r="G56" s="39"/>
      <x:c r="H56" s="39"/>
    </x:row>
    <x:row r="57">
      <x:c r="A57" s="43" t="str">
        <x:v>BS_TOTAL_CURRENT_LIABILITIES_OTHER_IMMATERIAL_COMPONENTS</x:v>
      </x:c>
      <x:c r="B57" s="43" t="str">
        <x:v>H1_CERTIFIED</x:v>
      </x:c>
      <x:c r="C57" s="43" t="str">
        <x:v>BASE</x:v>
      </x:c>
      <x:c r="D57" s="43" t="str">
        <x:v>RMB_MILLION</x:v>
      </x:c>
      <x:c r="E57" s="43" t="n">
        <x:v>0</x:v>
      </x:c>
      <x:c r="F57" s="43" t="n">
        <x:v>2025</x:v>
      </x:c>
      <x:c r="G57" s="39"/>
      <x:c r="H57" s="39"/>
    </x:row>
    <x:row r="58">
      <x:c r="A58" s="43" t="str">
        <x:v>BS_TOTAL_EQUITY</x:v>
      </x:c>
      <x:c r="B58" s="43" t="str">
        <x:v>H1_CERTIFIED</x:v>
      </x:c>
      <x:c r="C58" s="43" t="str">
        <x:v>BASE</x:v>
      </x:c>
      <x:c r="D58" s="43" t="str">
        <x:v>RMB_MILLION</x:v>
      </x:c>
      <x:c r="E58" s="43" t="n">
        <x:v>236424.223</x:v>
      </x:c>
      <x:c r="F58" s="43" t="n">
        <x:v>2025</x:v>
      </x:c>
      <x:c r="G58" s="39"/>
      <x:c r="H58" s="39"/>
    </x:row>
    <x:row r="59">
      <x:c r="A59" s="43" t="str">
        <x:v>BS_TOTAL_LIABILITIES</x:v>
      </x:c>
      <x:c r="B59" s="43" t="str">
        <x:v>H1_CERTIFIED</x:v>
      </x:c>
      <x:c r="C59" s="43" t="str">
        <x:v>BASE</x:v>
      </x:c>
      <x:c r="D59" s="43" t="str">
        <x:v>RMB_MILLION</x:v>
      </x:c>
      <x:c r="E59" s="43" t="n">
        <x:v>372367.543</x:v>
      </x:c>
      <x:c r="F59" s="43" t="n">
        <x:v>2025</x:v>
      </x:c>
      <x:c r="G59" s="39"/>
      <x:c r="H59" s="39"/>
    </x:row>
    <x:row r="60">
      <x:c r="A60" s="43" t="str">
        <x:v>BS_TOTAL_NONCURRENT_ASSETS</x:v>
      </x:c>
      <x:c r="B60" s="43" t="str">
        <x:v>H1_CERTIFIED</x:v>
      </x:c>
      <x:c r="C60" s="43" t="str">
        <x:v>BASE</x:v>
      </x:c>
      <x:c r="D60" s="43" t="str">
        <x:v>RMB_MILLION</x:v>
      </x:c>
      <x:c r="E60" s="43" t="n">
        <x:v>192129.425</x:v>
      </x:c>
      <x:c r="F60" s="43" t="n">
        <x:v>2025</x:v>
      </x:c>
      <x:c r="G60" s="39"/>
      <x:c r="H60" s="39"/>
    </x:row>
    <x:row r="61">
      <x:c r="A61" s="43" t="str">
        <x:v>BS_TOTAL_NONCURRENT_ASSETS_OTHER_IMMATERIAL_COMPONENTS</x:v>
      </x:c>
      <x:c r="B61" s="43" t="str">
        <x:v>H1_CERTIFIED</x:v>
      </x:c>
      <x:c r="C61" s="43" t="str">
        <x:v>BASE</x:v>
      </x:c>
      <x:c r="D61" s="43" t="str">
        <x:v>RMB_MILLION</x:v>
      </x:c>
      <x:c r="E61" s="43" t="n">
        <x:v>78654.351</x:v>
      </x:c>
      <x:c r="F61" s="43" t="n">
        <x:v>2025</x:v>
      </x:c>
      <x:c r="G61" s="39"/>
      <x:c r="H61" s="39"/>
    </x:row>
    <x:row r="62">
      <x:c r="A62" s="43" t="str">
        <x:v>BS_TOTAL_NONCURRENT_LIABILITIES</x:v>
      </x:c>
      <x:c r="B62" s="43" t="str">
        <x:v>H1_CERTIFIED</x:v>
      </x:c>
      <x:c r="C62" s="43" t="str">
        <x:v>BASE</x:v>
      </x:c>
      <x:c r="D62" s="43" t="str">
        <x:v>RMB_MILLION</x:v>
      </x:c>
      <x:c r="E62" s="43" t="n">
        <x:v>28983.843</x:v>
      </x:c>
      <x:c r="F62" s="43" t="n">
        <x:v>2025</x:v>
      </x:c>
      <x:c r="G62" s="39"/>
      <x:c r="H62" s="39"/>
    </x:row>
    <x:row r="63">
      <x:c r="A63" s="43" t="str">
        <x:v>BS_TOTAL_NONCURRENT_LIABILITIES_OTHER_IMMATERIAL_COMPONENTS</x:v>
      </x:c>
      <x:c r="B63" s="43" t="str">
        <x:v>H1_CERTIFIED</x:v>
      </x:c>
      <x:c r="C63" s="43" t="str">
        <x:v>BASE</x:v>
      </x:c>
      <x:c r="D63" s="43" t="str">
        <x:v>RMB_MILLION</x:v>
      </x:c>
      <x:c r="E63" s="43" t="n">
        <x:v>16325</x:v>
      </x:c>
      <x:c r="F63" s="43" t="n">
        <x:v>2025</x:v>
      </x:c>
      <x:c r="G63" s="39"/>
      <x:c r="H63" s="39"/>
    </x:row>
    <x:row r="64">
      <x:c r="A64" s="43" t="str">
        <x:v>BS_TRADING_FINANCIAL_ASSETS</x:v>
      </x:c>
      <x:c r="B64" s="43" t="str">
        <x:v>H1_CERTIFIED</x:v>
      </x:c>
      <x:c r="C64" s="43" t="str">
        <x:v>BASE</x:v>
      </x:c>
      <x:c r="D64" s="43" t="str">
        <x:v>RMB_MILLION</x:v>
      </x:c>
      <x:c r="E64" s="43" t="n">
        <x:v>710.717</x:v>
      </x:c>
      <x:c r="F64" s="43" t="n">
        <x:v>2025</x:v>
      </x:c>
      <x:c r="G64" s="39"/>
      <x:c r="H64" s="39"/>
    </x:row>
    <x:row r="65">
      <x:c r="A65" s="43" t="str">
        <x:v>BS_TRADING_FINANCIAL_LIABILITIES</x:v>
      </x:c>
      <x:c r="B65" s="43" t="str">
        <x:v>H1_CERTIFIED</x:v>
      </x:c>
      <x:c r="C65" s="43" t="str">
        <x:v>BASE</x:v>
      </x:c>
      <x:c r="D65" s="43" t="str">
        <x:v>RMB_MILLION</x:v>
      </x:c>
      <x:c r="E65" s="43" t="n">
        <x:v>706.439</x:v>
      </x:c>
      <x:c r="F65" s="43" t="n">
        <x:v>2025</x:v>
      </x:c>
      <x:c r="G65" s="39"/>
      <x:c r="H65" s="39"/>
    </x:row>
    <x:row r="66">
      <x:c r="A66" s="43" t="str">
        <x:v>BS_TREASURY_SHARES</x:v>
      </x:c>
      <x:c r="B66" s="43" t="str">
        <x:v>H1_CERTIFIED</x:v>
      </x:c>
      <x:c r="C66" s="43" t="str">
        <x:v>BASE</x:v>
      </x:c>
      <x:c r="D66" s="43" t="str">
        <x:v>RMB_MILLION</x:v>
      </x:c>
      <x:c r="E66" s="43" t="n">
        <x:v>-8151.117</x:v>
      </x:c>
      <x:c r="F66" s="43" t="n">
        <x:v>2025</x:v>
      </x:c>
      <x:c r="G66" s="39"/>
      <x:c r="H66" s="39"/>
    </x:row>
    <x:row r="67">
      <x:c r="A67" s="43" t="str">
        <x:v>BS_AP</x:v>
      </x:c>
      <x:c r="B67" s="43" t="str">
        <x:v>H3B_ATTEMPT005</x:v>
      </x:c>
      <x:c r="C67" s="43" t="str">
        <x:v>BASE</x:v>
      </x:c>
      <x:c r="D67" s="43" t="str">
        <x:v>RMB_MILLION</x:v>
      </x:c>
      <x:c r="E67" s="43" t="n">
        <x:v>95037.68289111</x:v>
      </x:c>
      <x:c r="F67" s="43" t="n">
        <x:v>2026</x:v>
      </x:c>
      <x:c r="G67" s="39"/>
      <x:c r="H67" s="39"/>
    </x:row>
    <x:row r="68">
      <x:c r="A68" s="43" t="str">
        <x:v>BS_AR</x:v>
      </x:c>
      <x:c r="B68" s="43" t="str">
        <x:v>H3B_ATTEMPT005</x:v>
      </x:c>
      <x:c r="C68" s="43" t="str">
        <x:v>BASE</x:v>
      </x:c>
      <x:c r="D68" s="43" t="str">
        <x:v>RMB_MILLION</x:v>
      </x:c>
      <x:c r="E68" s="43" t="n">
        <x:v>44669.24780299</x:v>
      </x:c>
      <x:c r="F68" s="43" t="n">
        <x:v>2026</x:v>
      </x:c>
      <x:c r="G68" s="39"/>
      <x:c r="H68" s="39"/>
    </x:row>
    <x:row r="69">
      <x:c r="A69" s="43" t="str">
        <x:v>BS_CAPITAL_RESERVE</x:v>
      </x:c>
      <x:c r="B69" s="43" t="str">
        <x:v>H3B_ATTEMPT005</x:v>
      </x:c>
      <x:c r="C69" s="43" t="str">
        <x:v>BASE</x:v>
      </x:c>
      <x:c r="D69" s="43" t="str">
        <x:v>RMB_MILLION</x:v>
      </x:c>
      <x:c r="E69" s="43" t="n">
        <x:v>45350.72</x:v>
      </x:c>
      <x:c r="F69" s="43" t="n">
        <x:v>2026</x:v>
      </x:c>
      <x:c r="G69" s="39"/>
      <x:c r="H69" s="39"/>
    </x:row>
    <x:row r="70">
      <x:c r="A70" s="43" t="str">
        <x:v>BS_CASH</x:v>
      </x:c>
      <x:c r="B70" s="43" t="str">
        <x:v>H3B_ATTEMPT005</x:v>
      </x:c>
      <x:c r="C70" s="43" t="str">
        <x:v>BASE</x:v>
      </x:c>
      <x:c r="D70" s="43" t="str">
        <x:v>RMB_MILLION</x:v>
      </x:c>
      <x:c r="E70" s="43" t="n">
        <x:v>104103.12922431</x:v>
      </x:c>
      <x:c r="F70" s="43" t="n">
        <x:v>2026</x:v>
      </x:c>
      <x:c r="G70" s="39"/>
      <x:c r="H70" s="39"/>
    </x:row>
    <x:row r="71">
      <x:c r="A71" s="43" t="str">
        <x:v>BS_CASH_TAXONOMY_OTHER</x:v>
      </x:c>
      <x:c r="B71" s="43" t="str">
        <x:v>H3B_ATTEMPT005</x:v>
      </x:c>
      <x:c r="C71" s="43" t="str">
        <x:v>BASE</x:v>
      </x:c>
      <x:c r="D71" s="43" t="str">
        <x:v>RMB_MILLION</x:v>
      </x:c>
      <x:c r="E71" s="43" t="n">
        <x:v>85.52004986</x:v>
      </x:c>
      <x:c r="F71" s="43" t="n">
        <x:v>2026</x:v>
      </x:c>
      <x:c r="G71" s="39"/>
      <x:c r="H71" s="39"/>
    </x:row>
    <x:row r="72">
      <x:c r="A72" s="43" t="str">
        <x:v>BS_CIP</x:v>
      </x:c>
      <x:c r="B72" s="43" t="str">
        <x:v>H3B_ATTEMPT005</x:v>
      </x:c>
      <x:c r="C72" s="43" t="str">
        <x:v>BASE</x:v>
      </x:c>
      <x:c r="D72" s="43" t="str">
        <x:v>RMB_MILLION</x:v>
      </x:c>
      <x:c r="E72" s="43" t="n">
        <x:v>4393.58730251</x:v>
      </x:c>
      <x:c r="F72" s="43" t="n">
        <x:v>2026</x:v>
      </x:c>
      <x:c r="G72" s="39"/>
      <x:c r="H72" s="39"/>
    </x:row>
    <x:row r="73">
      <x:c r="A73" s="43" t="str">
        <x:v>BS_CONTRACT_ASSETS</x:v>
      </x:c>
      <x:c r="B73" s="43" t="str">
        <x:v>H3B_ATTEMPT005</x:v>
      </x:c>
      <x:c r="C73" s="43" t="str">
        <x:v>BASE</x:v>
      </x:c>
      <x:c r="D73" s="43" t="str">
        <x:v>RMB_MILLION</x:v>
      </x:c>
      <x:c r="E73" s="43" t="n">
        <x:v>4544.68107959</x:v>
      </x:c>
      <x:c r="F73" s="43" t="n">
        <x:v>2026</x:v>
      </x:c>
      <x:c r="G73" s="39"/>
      <x:c r="H73" s="39"/>
    </x:row>
    <x:row r="74">
      <x:c r="A74" s="43" t="str">
        <x:v>BS_CONTRACT_LIABILITIES</x:v>
      </x:c>
      <x:c r="B74" s="43" t="str">
        <x:v>H3B_ATTEMPT005</x:v>
      </x:c>
      <x:c r="C74" s="43" t="str">
        <x:v>BASE</x:v>
      </x:c>
      <x:c r="D74" s="43" t="str">
        <x:v>RMB_MILLION</x:v>
      </x:c>
      <x:c r="E74" s="43" t="n">
        <x:v>50033.59977049</x:v>
      </x:c>
      <x:c r="F74" s="43" t="n">
        <x:v>2026</x:v>
      </x:c>
      <x:c r="G74" s="39"/>
      <x:c r="H74" s="39"/>
    </x:row>
    <x:row r="75">
      <x:c r="A75" s="43" t="str">
        <x:v>BS_CURRENT_PORTION_DEBT</x:v>
      </x:c>
      <x:c r="B75" s="43" t="str">
        <x:v>H3B_ATTEMPT005</x:v>
      </x:c>
      <x:c r="C75" s="43" t="str">
        <x:v>BASE</x:v>
      </x:c>
      <x:c r="D75" s="43" t="str">
        <x:v>RMB_MILLION</x:v>
      </x:c>
      <x:c r="E75" s="43" t="n">
        <x:v>8978.96631422</x:v>
      </x:c>
      <x:c r="F75" s="43" t="n">
        <x:v>2026</x:v>
      </x:c>
      <x:c r="G75" s="39"/>
      <x:c r="H75" s="39"/>
    </x:row>
    <x:row r="76">
      <x:c r="A76" s="43" t="str">
        <x:v>BS_CURRENT_PORTION_NONCURRENT_ASSETS</x:v>
      </x:c>
      <x:c r="B76" s="43" t="str">
        <x:v>H3B_ATTEMPT005</x:v>
      </x:c>
      <x:c r="C76" s="43" t="str">
        <x:v>BASE</x:v>
      </x:c>
      <x:c r="D76" s="43" t="str">
        <x:v>RMB_MILLION</x:v>
      </x:c>
      <x:c r="E76" s="43" t="n">
        <x:v>155634.74352617</x:v>
      </x:c>
      <x:c r="F76" s="43" t="n">
        <x:v>2026</x:v>
      </x:c>
      <x:c r="G76" s="39"/>
      <x:c r="H76" s="39"/>
    </x:row>
    <x:row r="77">
      <x:c r="A77" s="43" t="str">
        <x:v>BS_CURRENT_PORTION_NONCURRENT_ASSETS_FINANCE</x:v>
      </x:c>
      <x:c r="B77" s="43" t="str">
        <x:v>H3B_ATTEMPT005</x:v>
      </x:c>
      <x:c r="C77" s="43" t="str">
        <x:v>BASE</x:v>
      </x:c>
      <x:c r="D77" s="43" t="str">
        <x:v>RMB_MILLION</x:v>
      </x:c>
      <x:c r="E77" s="43" t="n">
        <x:v>272.21552617</x:v>
      </x:c>
      <x:c r="F77" s="43" t="n">
        <x:v>2026</x:v>
      </x:c>
      <x:c r="G77" s="39"/>
      <x:c r="H77" s="39"/>
    </x:row>
    <x:row r="78">
      <x:c r="A78" s="43" t="str">
        <x:v>BS_CURRENT_PORTION_NONCURRENT_ASSETS_TREASURY</x:v>
      </x:c>
      <x:c r="B78" s="43" t="str">
        <x:v>H3B_ATTEMPT005</x:v>
      </x:c>
      <x:c r="C78" s="43" t="str">
        <x:v>BASE</x:v>
      </x:c>
      <x:c r="D78" s="43" t="str">
        <x:v>RMB_MILLION</x:v>
      </x:c>
      <x:c r="E78" s="43" t="n">
        <x:v>155362.528</x:v>
      </x:c>
      <x:c r="F78" s="43" t="n">
        <x:v>2026</x:v>
      </x:c>
      <x:c r="G78" s="39"/>
      <x:c r="H78" s="39"/>
    </x:row>
    <x:row r="79">
      <x:c r="A79" s="43" t="str">
        <x:v>BS_CUSTOMER_DEPOSITS</x:v>
      </x:c>
      <x:c r="B79" s="43" t="str">
        <x:v>H3B_ATTEMPT005</x:v>
      </x:c>
      <x:c r="C79" s="43" t="str">
        <x:v>BASE</x:v>
      </x:c>
      <x:c r="D79" s="43" t="str">
        <x:v>RMB_MILLION</x:v>
      </x:c>
      <x:c r="E79" s="43" t="n">
        <x:v>142.78717039</x:v>
      </x:c>
      <x:c r="F79" s="43" t="n">
        <x:v>2026</x:v>
      </x:c>
      <x:c r="G79" s="39"/>
      <x:c r="H79" s="39"/>
    </x:row>
    <x:row r="80">
      <x:c r="A80" s="43" t="str">
        <x:v>BS_DERIVATIVE_FINANCIAL_ASSETS</x:v>
      </x:c>
      <x:c r="B80" s="43" t="str">
        <x:v>H3B_ATTEMPT005</x:v>
      </x:c>
      <x:c r="C80" s="43" t="str">
        <x:v>BASE</x:v>
      </x:c>
      <x:c r="D80" s="43" t="str">
        <x:v>RMB_MILLION</x:v>
      </x:c>
      <x:c r="E80" s="43" t="n">
        <x:v>2367.00158773</x:v>
      </x:c>
      <x:c r="F80" s="43" t="n">
        <x:v>2026</x:v>
      </x:c>
      <x:c r="G80" s="39"/>
      <x:c r="H80" s="39"/>
    </x:row>
    <x:row r="81">
      <x:c r="A81" s="43" t="str">
        <x:v>BS_DERIVATIVE_LIABILITIES</x:v>
      </x:c>
      <x:c r="B81" s="43" t="str">
        <x:v>H3B_ATTEMPT005</x:v>
      </x:c>
      <x:c r="C81" s="43" t="str">
        <x:v>BASE</x:v>
      </x:c>
      <x:c r="D81" s="43" t="str">
        <x:v>RMB_MILLION</x:v>
      </x:c>
      <x:c r="E81" s="43" t="n">
        <x:v>906.0176551</x:v>
      </x:c>
      <x:c r="F81" s="43" t="n">
        <x:v>2026</x:v>
      </x:c>
      <x:c r="G81" s="39"/>
      <x:c r="H81" s="39"/>
    </x:row>
    <x:row r="82">
      <x:c r="A82" s="43" t="str">
        <x:v>BS_EMPLOYEE_COMP</x:v>
      </x:c>
      <x:c r="B82" s="43" t="str">
        <x:v>H3B_ATTEMPT005</x:v>
      </x:c>
      <x:c r="C82" s="43" t="str">
        <x:v>BASE</x:v>
      </x:c>
      <x:c r="D82" s="43" t="str">
        <x:v>RMB_MILLION</x:v>
      </x:c>
      <x:c r="E82" s="43" t="n">
        <x:v>10269.52351556</x:v>
      </x:c>
      <x:c r="F82" s="43" t="n">
        <x:v>2026</x:v>
      </x:c>
      <x:c r="G82" s="39"/>
      <x:c r="H82" s="39"/>
    </x:row>
    <x:row r="83">
      <x:c r="A83" s="43" t="str">
        <x:v>BS_GOODWILL</x:v>
      </x:c>
      <x:c r="B83" s="43" t="str">
        <x:v>H3B_ATTEMPT005</x:v>
      </x:c>
      <x:c r="C83" s="43" t="str">
        <x:v>BASE</x:v>
      </x:c>
      <x:c r="D83" s="43" t="str">
        <x:v>RMB_MILLION</x:v>
      </x:c>
      <x:c r="E83" s="43" t="n">
        <x:v>36473.34250207</x:v>
      </x:c>
      <x:c r="F83" s="43" t="n">
        <x:v>2026</x:v>
      </x:c>
      <x:c r="G83" s="39"/>
      <x:c r="H83" s="39"/>
    </x:row>
    <x:row r="84">
      <x:c r="A84" s="43" t="str">
        <x:v>BS_INCOME_TAX_PAYABLE</x:v>
      </x:c>
      <x:c r="B84" s="43" t="str">
        <x:v>H3B_ATTEMPT005</x:v>
      </x:c>
      <x:c r="C84" s="43" t="str">
        <x:v>BASE</x:v>
      </x:c>
      <x:c r="D84" s="43" t="str">
        <x:v>RMB_MILLION</x:v>
      </x:c>
      <x:c r="E84" s="43" t="n">
        <x:v>4775.42327306</x:v>
      </x:c>
      <x:c r="F84" s="43" t="n">
        <x:v>2026</x:v>
      </x:c>
      <x:c r="G84" s="39"/>
      <x:c r="H84" s="39"/>
    </x:row>
    <x:row r="85">
      <x:c r="A85" s="43" t="str">
        <x:v>BS_INTANGIBLES</x:v>
      </x:c>
      <x:c r="B85" s="43" t="str">
        <x:v>H3B_ATTEMPT005</x:v>
      </x:c>
      <x:c r="C85" s="43" t="str">
        <x:v>BASE</x:v>
      </x:c>
      <x:c r="D85" s="43" t="str">
        <x:v>RMB_MILLION</x:v>
      </x:c>
      <x:c r="E85" s="43" t="n">
        <x:v>23536.53216705</x:v>
      </x:c>
      <x:c r="F85" s="43" t="n">
        <x:v>2026</x:v>
      </x:c>
      <x:c r="G85" s="39"/>
      <x:c r="H85" s="39"/>
    </x:row>
    <x:row r="86">
      <x:c r="A86" s="43" t="str">
        <x:v>BS_INVENTORY</x:v>
      </x:c>
      <x:c r="B86" s="43" t="str">
        <x:v>H3B_ATTEMPT005</x:v>
      </x:c>
      <x:c r="C86" s="43" t="str">
        <x:v>BASE</x:v>
      </x:c>
      <x:c r="D86" s="43" t="str">
        <x:v>RMB_MILLION</x:v>
      </x:c>
      <x:c r="E86" s="43" t="n">
        <x:v>58037.17487401</x:v>
      </x:c>
      <x:c r="F86" s="43" t="n">
        <x:v>2026</x:v>
      </x:c>
      <x:c r="G86" s="39"/>
      <x:c r="H86" s="39"/>
    </x:row>
    <x:row r="87">
      <x:c r="A87" s="43" t="str">
        <x:v>BS_LOANS_ADVANCES_CURRENT</x:v>
      </x:c>
      <x:c r="B87" s="43" t="str">
        <x:v>H3B_ATTEMPT005</x:v>
      </x:c>
      <x:c r="C87" s="43" t="str">
        <x:v>BASE</x:v>
      </x:c>
      <x:c r="D87" s="43" t="str">
        <x:v>RMB_MILLION</x:v>
      </x:c>
      <x:c r="E87" s="43" t="n">
        <x:v>12541.3545955</x:v>
      </x:c>
      <x:c r="F87" s="43" t="n">
        <x:v>2026</x:v>
      </x:c>
      <x:c r="G87" s="39"/>
      <x:c r="H87" s="39"/>
    </x:row>
    <x:row r="88">
      <x:c r="A88" s="43" t="str">
        <x:v>BS_LONG_TERM_BORROWINGS</x:v>
      </x:c>
      <x:c r="B88" s="43" t="str">
        <x:v>H3B_ATTEMPT005</x:v>
      </x:c>
      <x:c r="C88" s="43" t="str">
        <x:v>BASE</x:v>
      </x:c>
      <x:c r="D88" s="43" t="str">
        <x:v>RMB_MILLION</x:v>
      </x:c>
      <x:c r="E88" s="43" t="n">
        <x:v>20647.55965528</x:v>
      </x:c>
      <x:c r="F88" s="43" t="n">
        <x:v>2026</x:v>
      </x:c>
      <x:c r="G88" s="39"/>
      <x:c r="H88" s="39"/>
    </x:row>
    <x:row r="89">
      <x:c r="A89" s="43" t="str">
        <x:v>BS_LONG_TERM_INVESTMENTS</x:v>
      </x:c>
      <x:c r="B89" s="43" t="str">
        <x:v>H3B_ATTEMPT005</x:v>
      </x:c>
      <x:c r="C89" s="43" t="str">
        <x:v>BASE</x:v>
      </x:c>
      <x:c r="D89" s="43" t="str">
        <x:v>RMB_MILLION</x:v>
      </x:c>
      <x:c r="E89" s="43" t="n">
        <x:v>5083.99836875</x:v>
      </x:c>
      <x:c r="F89" s="43" t="n">
        <x:v>2026</x:v>
      </x:c>
      <x:c r="G89" s="39"/>
      <x:c r="H89" s="39"/>
    </x:row>
    <x:row r="90">
      <x:c r="A90" s="43" t="str">
        <x:v>BS_NCI</x:v>
      </x:c>
      <x:c r="B90" s="43" t="str">
        <x:v>H3B_ATTEMPT005</x:v>
      </x:c>
      <x:c r="C90" s="43" t="str">
        <x:v>BASE</x:v>
      </x:c>
      <x:c r="D90" s="43" t="str">
        <x:v>RMB_MILLION</x:v>
      </x:c>
      <x:c r="E90" s="43" t="n">
        <x:v>13767.89603522</x:v>
      </x:c>
      <x:c r="F90" s="43" t="n">
        <x:v>2026</x:v>
      </x:c>
      <x:c r="G90" s="39"/>
      <x:c r="H90" s="39"/>
    </x:row>
    <x:row r="91">
      <x:c r="A91" s="43" t="str">
        <x:v>BS_NOTES_PAYABLE</x:v>
      </x:c>
      <x:c r="B91" s="43" t="str">
        <x:v>H3B_ATTEMPT005</x:v>
      </x:c>
      <x:c r="C91" s="43" t="str">
        <x:v>BASE</x:v>
      </x:c>
      <x:c r="D91" s="43" t="str">
        <x:v>RMB_MILLION</x:v>
      </x:c>
      <x:c r="E91" s="43" t="n">
        <x:v>28876.71794467</x:v>
      </x:c>
      <x:c r="F91" s="43" t="n">
        <x:v>2026</x:v>
      </x:c>
      <x:c r="G91" s="39"/>
      <x:c r="H91" s="39"/>
    </x:row>
    <x:row r="92">
      <x:c r="A92" s="43" t="str">
        <x:v>BS_NOTES_RECEIVABLE</x:v>
      </x:c>
      <x:c r="B92" s="43" t="str">
        <x:v>H3B_ATTEMPT005</x:v>
      </x:c>
      <x:c r="C92" s="43" t="str">
        <x:v>BASE</x:v>
      </x:c>
      <x:c r="D92" s="43" t="str">
        <x:v>RMB_MILLION</x:v>
      </x:c>
      <x:c r="E92" s="43" t="n">
        <x:v>5586.23847931</x:v>
      </x:c>
      <x:c r="F92" s="43" t="n">
        <x:v>2026</x:v>
      </x:c>
      <x:c r="G92" s="39"/>
      <x:c r="H92" s="39"/>
    </x:row>
    <x:row r="93">
      <x:c r="A93" s="43" t="str">
        <x:v>BS_OTHER_CURRENT_ASSETS</x:v>
      </x:c>
      <x:c r="B93" s="43" t="str">
        <x:v>H3B_ATTEMPT005</x:v>
      </x:c>
      <x:c r="C93" s="43" t="str">
        <x:v>BASE</x:v>
      </x:c>
      <x:c r="D93" s="43" t="str">
        <x:v>RMB_MILLION</x:v>
      </x:c>
      <x:c r="E93" s="43" t="n">
        <x:v>26926.04261248</x:v>
      </x:c>
      <x:c r="F93" s="43" t="n">
        <x:v>2026</x:v>
      </x:c>
      <x:c r="G93" s="39"/>
      <x:c r="H93" s="39"/>
    </x:row>
    <x:row r="94">
      <x:c r="A94" s="43" t="str">
        <x:v>BS_OTHER_CURRENT_ASSETS_HEDGE</x:v>
      </x:c>
      <x:c r="B94" s="43" t="str">
        <x:v>H3B_ATTEMPT005</x:v>
      </x:c>
      <x:c r="C94" s="43" t="str">
        <x:v>BASE</x:v>
      </x:c>
      <x:c r="D94" s="43" t="str">
        <x:v>RMB_MILLION</x:v>
      </x:c>
      <x:c r="E94" s="43" t="n">
        <x:v>3408.5313052</x:v>
      </x:c>
      <x:c r="F94" s="43" t="n">
        <x:v>2026</x:v>
      </x:c>
      <x:c r="G94" s="39"/>
      <x:c r="H94" s="39"/>
    </x:row>
    <x:row r="95">
      <x:c r="A95" s="43" t="str">
        <x:v>BS_OTHER_CURRENT_ASSETS_OPERATING</x:v>
      </x:c>
      <x:c r="B95" s="43" t="str">
        <x:v>H3B_ATTEMPT005</x:v>
      </x:c>
      <x:c r="C95" s="43" t="str">
        <x:v>BASE</x:v>
      </x:c>
      <x:c r="D95" s="43" t="str">
        <x:v>RMB_MILLION</x:v>
      </x:c>
      <x:c r="E95" s="43" t="n">
        <x:v>22090.37730728</x:v>
      </x:c>
      <x:c r="F95" s="43" t="n">
        <x:v>2026</x:v>
      </x:c>
      <x:c r="G95" s="39"/>
      <x:c r="H95" s="39"/>
    </x:row>
    <x:row r="96">
      <x:c r="A96" s="43" t="str">
        <x:v>BS_OTHER_CURRENT_ASSETS_TREASURY</x:v>
      </x:c>
      <x:c r="B96" s="43" t="str">
        <x:v>H3B_ATTEMPT005</x:v>
      </x:c>
      <x:c r="C96" s="43" t="str">
        <x:v>BASE</x:v>
      </x:c>
      <x:c r="D96" s="43" t="str">
        <x:v>RMB_MILLION</x:v>
      </x:c>
      <x:c r="E96" s="43" t="n">
        <x:v>1427.134</x:v>
      </x:c>
      <x:c r="F96" s="43" t="n">
        <x:v>2026</x:v>
      </x:c>
      <x:c r="G96" s="39"/>
      <x:c r="H96" s="39"/>
    </x:row>
    <x:row r="97">
      <x:c r="A97" s="43" t="str">
        <x:v>BS_OTHER_CURRENT_LIABILITIES</x:v>
      </x:c>
      <x:c r="B97" s="43" t="str">
        <x:v>H3B_ATTEMPT005</x:v>
      </x:c>
      <x:c r="C97" s="43" t="str">
        <x:v>BASE</x:v>
      </x:c>
      <x:c r="D97" s="43" t="str">
        <x:v>RMB_MILLION</x:v>
      </x:c>
      <x:c r="E97" s="43" t="n">
        <x:v>98524.76484911</x:v>
      </x:c>
      <x:c r="F97" s="43" t="n">
        <x:v>2026</x:v>
      </x:c>
      <x:c r="G97" s="39"/>
      <x:c r="H97" s="39"/>
    </x:row>
    <x:row r="98">
      <x:c r="A98" s="43" t="str">
        <x:v>BS_OTHER_CURRENT_LIABILITIES_HEDGE</x:v>
      </x:c>
      <x:c r="B98" s="43" t="str">
        <x:v>H3B_ATTEMPT005</x:v>
      </x:c>
      <x:c r="C98" s="43" t="str">
        <x:v>BASE</x:v>
      </x:c>
      <x:c r="D98" s="43" t="str">
        <x:v>RMB_MILLION</x:v>
      </x:c>
      <x:c r="E98" s="43" t="n">
        <x:v>22.86979658</x:v>
      </x:c>
      <x:c r="F98" s="43" t="n">
        <x:v>2026</x:v>
      </x:c>
      <x:c r="G98" s="39"/>
      <x:c r="H98" s="39"/>
    </x:row>
    <x:row r="99">
      <x:c r="A99" s="43" t="str">
        <x:v>BS_OTHER_CURRENT_LIABILITIES_OPERATING</x:v>
      </x:c>
      <x:c r="B99" s="43" t="str">
        <x:v>H3B_ATTEMPT005</x:v>
      </x:c>
      <x:c r="C99" s="43" t="str">
        <x:v>BASE</x:v>
      </x:c>
      <x:c r="D99" s="43" t="str">
        <x:v>RMB_MILLION</x:v>
      </x:c>
      <x:c r="E99" s="43" t="n">
        <x:v>98501.89505253</x:v>
      </x:c>
      <x:c r="F99" s="43" t="n">
        <x:v>2026</x:v>
      </x:c>
      <x:c r="G99" s="39"/>
      <x:c r="H99" s="39"/>
    </x:row>
    <x:row r="100">
      <x:c r="A100" s="43" t="str">
        <x:v>BS_OTHER_NONCURRENT_FINANCIAL_ASSETS</x:v>
      </x:c>
      <x:c r="B100" s="43" t="str">
        <x:v>H3B_ATTEMPT005</x:v>
      </x:c>
      <x:c r="C100" s="43" t="str">
        <x:v>BASE</x:v>
      </x:c>
      <x:c r="D100" s="43" t="str">
        <x:v>RMB_MILLION</x:v>
      </x:c>
      <x:c r="E100" s="43" t="n">
        <x:v>5095.75800112</x:v>
      </x:c>
      <x:c r="F100" s="43" t="n">
        <x:v>2026</x:v>
      </x:c>
      <x:c r="G100" s="39"/>
      <x:c r="H100" s="39"/>
    </x:row>
    <x:row r="101">
      <x:c r="A101" s="43" t="str">
        <x:v>BS_OTHER_PAYABLES</x:v>
      </x:c>
      <x:c r="B101" s="43" t="str">
        <x:v>H3B_ATTEMPT005</x:v>
      </x:c>
      <x:c r="C101" s="43" t="str">
        <x:v>BASE</x:v>
      </x:c>
      <x:c r="D101" s="43" t="str">
        <x:v>RMB_MILLION</x:v>
      </x:c>
      <x:c r="E101" s="43" t="n">
        <x:v>5135.56401066</x:v>
      </x:c>
      <x:c r="F101" s="43" t="n">
        <x:v>2026</x:v>
      </x:c>
      <x:c r="G101" s="39"/>
      <x:c r="H101" s="39"/>
    </x:row>
    <x:row r="102">
      <x:c r="A102" s="43" t="str">
        <x:v>BS_OTHER_RECEIVABLES</x:v>
      </x:c>
      <x:c r="B102" s="43" t="str">
        <x:v>H3B_ATTEMPT005</x:v>
      </x:c>
      <x:c r="C102" s="43" t="str">
        <x:v>BASE</x:v>
      </x:c>
      <x:c r="D102" s="43" t="str">
        <x:v>RMB_MILLION</x:v>
      </x:c>
      <x:c r="E102" s="43" t="n">
        <x:v>3397.02826599</x:v>
      </x:c>
      <x:c r="F102" s="43" t="n">
        <x:v>2026</x:v>
      </x:c>
      <x:c r="G102" s="39"/>
      <x:c r="H102" s="39"/>
    </x:row>
    <x:row r="103">
      <x:c r="A103" s="43" t="str">
        <x:v>BS_OTHER_RESERVES</x:v>
      </x:c>
      <x:c r="B103" s="43" t="str">
        <x:v>H3B_ATTEMPT005</x:v>
      </x:c>
      <x:c r="C103" s="43" t="str">
        <x:v>BASE</x:v>
      </x:c>
      <x:c r="D103" s="43" t="str">
        <x:v>RMB_MILLION</x:v>
      </x:c>
      <x:c r="E103" s="43" t="n">
        <x:v>11196.537</x:v>
      </x:c>
      <x:c r="F103" s="43" t="n">
        <x:v>2026</x:v>
      </x:c>
      <x:c r="G103" s="39"/>
      <x:c r="H103" s="39"/>
    </x:row>
    <x:row r="104">
      <x:c r="A104" s="43" t="str">
        <x:v>BS_OTHER_TAXES_PAYABLE</x:v>
      </x:c>
      <x:c r="B104" s="43" t="str">
        <x:v>H3B_ATTEMPT005</x:v>
      </x:c>
      <x:c r="C104" s="43" t="str">
        <x:v>BASE</x:v>
      </x:c>
      <x:c r="D104" s="43" t="str">
        <x:v>RMB_MILLION</x:v>
      </x:c>
      <x:c r="E104" s="43" t="n">
        <x:v>2852.20007985</x:v>
      </x:c>
      <x:c r="F104" s="43" t="n">
        <x:v>2026</x:v>
      </x:c>
      <x:c r="G104" s="39"/>
      <x:c r="H104" s="39"/>
    </x:row>
    <x:row r="105">
      <x:c r="A105" s="43" t="str">
        <x:v>BS_PARENT_EQUITY</x:v>
      </x:c>
      <x:c r="B105" s="43" t="str">
        <x:v>H3B_ATTEMPT005</x:v>
      </x:c>
      <x:c r="C105" s="43" t="str">
        <x:v>BASE</x:v>
      </x:c>
      <x:c r="D105" s="43" t="str">
        <x:v>RMB_MILLION</x:v>
      </x:c>
      <x:c r="E105" s="43" t="n">
        <x:v>236460.06384222</x:v>
      </x:c>
      <x:c r="F105" s="43" t="n">
        <x:v>2026</x:v>
      </x:c>
      <x:c r="G105" s="39"/>
      <x:c r="H105" s="39"/>
    </x:row>
    <x:row r="106">
      <x:c r="A106" s="43" t="str">
        <x:v>BS_PPE</x:v>
      </x:c>
      <x:c r="B106" s="43" t="str">
        <x:v>H3B_ATTEMPT005</x:v>
      </x:c>
      <x:c r="C106" s="43" t="str">
        <x:v>BASE</x:v>
      </x:c>
      <x:c r="D106" s="43" t="str">
        <x:v>RMB_MILLION</x:v>
      </x:c>
      <x:c r="E106" s="43" t="n">
        <x:v>45315.16697407</x:v>
      </x:c>
      <x:c r="F106" s="43" t="n">
        <x:v>2026</x:v>
      </x:c>
      <x:c r="G106" s="39"/>
      <x:c r="H106" s="39"/>
    </x:row>
    <x:row r="107">
      <x:c r="A107" s="43" t="str">
        <x:v>BS_PREPAYMENTS</x:v>
      </x:c>
      <x:c r="B107" s="43" t="str">
        <x:v>H3B_ATTEMPT005</x:v>
      </x:c>
      <x:c r="C107" s="43" t="str">
        <x:v>BASE</x:v>
      </x:c>
      <x:c r="D107" s="43" t="str">
        <x:v>RMB_MILLION</x:v>
      </x:c>
      <x:c r="E107" s="43" t="n">
        <x:v>3180.57543658</x:v>
      </x:c>
      <x:c r="F107" s="43" t="n">
        <x:v>2026</x:v>
      </x:c>
      <x:c r="G107" s="39"/>
      <x:c r="H107" s="39"/>
    </x:row>
    <x:row r="108">
      <x:c r="A108" s="43" t="str">
        <x:v>BS_RECEIVABLES_FINANCING</x:v>
      </x:c>
      <x:c r="B108" s="43" t="str">
        <x:v>H3B_ATTEMPT005</x:v>
      </x:c>
      <x:c r="C108" s="43" t="str">
        <x:v>BASE</x:v>
      </x:c>
      <x:c r="D108" s="43" t="str">
        <x:v>RMB_MILLION</x:v>
      </x:c>
      <x:c r="E108" s="43" t="n">
        <x:v>15901.68897558</x:v>
      </x:c>
      <x:c r="F108" s="43" t="n">
        <x:v>2026</x:v>
      </x:c>
      <x:c r="G108" s="39"/>
      <x:c r="H108" s="39"/>
    </x:row>
    <x:row r="109">
      <x:c r="A109" s="43" t="str">
        <x:v>BS_RESTRICTED_CASH</x:v>
      </x:c>
      <x:c r="B109" s="43" t="str">
        <x:v>H3B_ATTEMPT005</x:v>
      </x:c>
      <x:c r="C109" s="43" t="str">
        <x:v>BASE</x:v>
      </x:c>
      <x:c r="D109" s="43" t="str">
        <x:v>RMB_MILLION</x:v>
      </x:c>
      <x:c r="E109" s="43" t="n">
        <x:v>5020.64967103</x:v>
      </x:c>
      <x:c r="F109" s="43" t="n">
        <x:v>2026</x:v>
      </x:c>
      <x:c r="G109" s="39"/>
      <x:c r="H109" s="39"/>
    </x:row>
    <x:row r="110">
      <x:c r="A110" s="43" t="str">
        <x:v>BS_RETAINED_EARNINGS</x:v>
      </x:c>
      <x:c r="B110" s="43" t="str">
        <x:v>H3B_ATTEMPT005</x:v>
      </x:c>
      <x:c r="C110" s="43" t="str">
        <x:v>BASE</x:v>
      </x:c>
      <x:c r="D110" s="43" t="str">
        <x:v>RMB_MILLION</x:v>
      </x:c>
      <x:c r="E110" s="43" t="n">
        <x:v>180466.77884222</x:v>
      </x:c>
      <x:c r="F110" s="43" t="n">
        <x:v>2026</x:v>
      </x:c>
      <x:c r="G110" s="39"/>
      <x:c r="H110" s="39"/>
    </x:row>
    <x:row r="111">
      <x:c r="A111" s="43" t="str">
        <x:v>BS_SHARE_CAPITAL</x:v>
      </x:c>
      <x:c r="B111" s="43" t="str">
        <x:v>H3B_ATTEMPT005</x:v>
      </x:c>
      <x:c r="C111" s="43" t="str">
        <x:v>BASE</x:v>
      </x:c>
      <x:c r="D111" s="43" t="str">
        <x:v>RMB_MILLION</x:v>
      </x:c>
      <x:c r="E111" s="43" t="n">
        <x:v>7597.145</x:v>
      </x:c>
      <x:c r="F111" s="43" t="n">
        <x:v>2026</x:v>
      </x:c>
      <x:c r="G111" s="39"/>
      <x:c r="H111" s="39"/>
    </x:row>
    <x:row r="112">
      <x:c r="A112" s="43" t="str">
        <x:v>BS_SHORT_TERM_BORROWING</x:v>
      </x:c>
      <x:c r="B112" s="43" t="str">
        <x:v>H3B_ATTEMPT005</x:v>
      </x:c>
      <x:c r="C112" s="43" t="str">
        <x:v>BASE</x:v>
      </x:c>
      <x:c r="D112" s="43" t="str">
        <x:v>RMB_MILLION</x:v>
      </x:c>
      <x:c r="E112" s="43" t="n">
        <x:v>46745.25733808</x:v>
      </x:c>
      <x:c r="F112" s="43" t="n">
        <x:v>2026</x:v>
      </x:c>
      <x:c r="G112" s="39"/>
      <x:c r="H112" s="39"/>
    </x:row>
    <x:row r="113">
      <x:c r="A113" s="43" t="str">
        <x:v>BS_TAXES_PAYABLE</x:v>
      </x:c>
      <x:c r="B113" s="43" t="str">
        <x:v>H3B_ATTEMPT005</x:v>
      </x:c>
      <x:c r="C113" s="43" t="str">
        <x:v>BASE</x:v>
      </x:c>
      <x:c r="D113" s="43" t="str">
        <x:v>RMB_MILLION</x:v>
      </x:c>
      <x:c r="E113" s="43" t="n">
        <x:v>7627.62335291</x:v>
      </x:c>
      <x:c r="F113" s="43" t="n">
        <x:v>2026</x:v>
      </x:c>
      <x:c r="G113" s="39"/>
      <x:c r="H113" s="39"/>
    </x:row>
    <x:row r="114">
      <x:c r="A114" s="43" t="str">
        <x:v>BS_TERM_DEPOSITS</x:v>
      </x:c>
      <x:c r="B114" s="43" t="str">
        <x:v>H3B_ATTEMPT005</x:v>
      </x:c>
      <x:c r="C114" s="43" t="str">
        <x:v>BASE</x:v>
      </x:c>
      <x:c r="D114" s="43" t="str">
        <x:v>RMB_MILLION</x:v>
      </x:c>
      <x:c r="E114" s="43" t="n">
        <x:v>12715.32156072</x:v>
      </x:c>
      <x:c r="F114" s="43" t="n">
        <x:v>2026</x:v>
      </x:c>
      <x:c r="G114" s="39"/>
      <x:c r="H114" s="39"/>
    </x:row>
    <x:row r="115">
      <x:c r="A115" s="43" t="str">
        <x:v>BS_TOTAL_ASSETS</x:v>
      </x:c>
      <x:c r="B115" s="43" t="str">
        <x:v>H3B_ATTEMPT005</x:v>
      </x:c>
      <x:c r="C115" s="43" t="str">
        <x:v>BASE</x:v>
      </x:c>
      <x:c r="D115" s="43" t="str">
        <x:v>RMB_MILLION</x:v>
      </x:c>
      <x:c r="E115" s="43" t="n">
        <x:v>641287.42962745</x:v>
      </x:c>
      <x:c r="F115" s="43" t="n">
        <x:v>2026</x:v>
      </x:c>
      <x:c r="G115" s="39"/>
      <x:c r="H115" s="39"/>
    </x:row>
    <x:row r="116">
      <x:c r="A116" s="43" t="str">
        <x:v>BS_TOTAL_CURRENT_ASSETS</x:v>
      </x:c>
      <x:c r="B116" s="43" t="str">
        <x:v>H3B_ATTEMPT005</x:v>
      </x:c>
      <x:c r="C116" s="43" t="str">
        <x:v>BASE</x:v>
      </x:c>
      <x:c r="D116" s="43" t="str">
        <x:v>RMB_MILLION</x:v>
      </x:c>
      <x:c r="E116" s="43" t="n">
        <x:v>437645.60819297</x:v>
      </x:c>
      <x:c r="F116" s="43" t="n">
        <x:v>2026</x:v>
      </x:c>
      <x:c r="G116" s="39"/>
      <x:c r="H116" s="39"/>
    </x:row>
    <x:row r="117">
      <x:c r="A117" s="43" t="str">
        <x:v>BS_TOTAL_CURRENT_ASSETS_OTHER_IMMATERIAL_COMPONENTS</x:v>
      </x:c>
      <x:c r="B117" s="43" t="str">
        <x:v>H3B_ATTEMPT005</x:v>
      </x:c>
      <x:c r="C117" s="43" t="str">
        <x:v>BASE</x:v>
      </x:c>
      <x:c r="D117" s="43" t="str">
        <x:v>RMB_MILLION</x:v>
      </x:c>
      <x:c r="E117" s="43" t="n">
        <x:v>0</x:v>
      </x:c>
      <x:c r="F117" s="43" t="n">
        <x:v>2026</x:v>
      </x:c>
      <x:c r="G117" s="39"/>
      <x:c r="H117" s="39"/>
    </x:row>
    <x:row r="118">
      <x:c r="A118" s="43" t="str">
        <x:v>BS_TOTAL_CURRENT_LIABILITIES</x:v>
      </x:c>
      <x:c r="B118" s="43" t="str">
        <x:v>H3B_ATTEMPT005</x:v>
      </x:c>
      <x:c r="C118" s="43" t="str">
        <x:v>BASE</x:v>
      </x:c>
      <x:c r="D118" s="43" t="str">
        <x:v>RMB_MILLION</x:v>
      </x:c>
      <x:c r="E118" s="43" t="n">
        <x:v>353030.65175034</x:v>
      </x:c>
      <x:c r="F118" s="43" t="n">
        <x:v>2026</x:v>
      </x:c>
      <x:c r="G118" s="39"/>
      <x:c r="H118" s="39"/>
    </x:row>
    <x:row r="119">
      <x:c r="A119" s="43" t="str">
        <x:v>BS_TOTAL_CURRENT_LIABILITIES_OTHER_IMMATERIAL_COMPONENTS</x:v>
      </x:c>
      <x:c r="B119" s="43" t="str">
        <x:v>H3B_ATTEMPT005</x:v>
      </x:c>
      <x:c r="C119" s="43" t="str">
        <x:v>BASE</x:v>
      </x:c>
      <x:c r="D119" s="43" t="str">
        <x:v>RMB_MILLION</x:v>
      </x:c>
      <x:c r="E119" s="43" t="n">
        <x:v>0</x:v>
      </x:c>
      <x:c r="F119" s="43" t="n">
        <x:v>2026</x:v>
      </x:c>
      <x:c r="G119" s="39"/>
      <x:c r="H119" s="39"/>
    </x:row>
    <x:row r="120">
      <x:c r="A120" s="43" t="str">
        <x:v>BS_TOTAL_EQUITY</x:v>
      </x:c>
      <x:c r="B120" s="43" t="str">
        <x:v>H3B_ATTEMPT005</x:v>
      </x:c>
      <x:c r="C120" s="43" t="str">
        <x:v>BASE</x:v>
      </x:c>
      <x:c r="D120" s="43" t="str">
        <x:v>RMB_MILLION</x:v>
      </x:c>
      <x:c r="E120" s="43" t="n">
        <x:v>250227.95987744</x:v>
      </x:c>
      <x:c r="F120" s="43" t="n">
        <x:v>2026</x:v>
      </x:c>
      <x:c r="G120" s="39"/>
      <x:c r="H120" s="39"/>
    </x:row>
    <x:row r="121">
      <x:c r="A121" s="43" t="str">
        <x:v>BS_TOTAL_LIABILITIES</x:v>
      </x:c>
      <x:c r="B121" s="43" t="str">
        <x:v>H3B_ATTEMPT005</x:v>
      </x:c>
      <x:c r="C121" s="43" t="str">
        <x:v>BASE</x:v>
      </x:c>
      <x:c r="D121" s="43" t="str">
        <x:v>RMB_MILLION</x:v>
      </x:c>
      <x:c r="E121" s="43" t="n">
        <x:v>391059.46975001</x:v>
      </x:c>
      <x:c r="F121" s="43" t="n">
        <x:v>2026</x:v>
      </x:c>
      <x:c r="G121" s="39"/>
      <x:c r="H121" s="39"/>
    </x:row>
    <x:row r="122">
      <x:c r="A122" s="43" t="str">
        <x:v>BS_TOTAL_NONCURRENT_ASSETS</x:v>
      </x:c>
      <x:c r="B122" s="43" t="str">
        <x:v>H3B_ATTEMPT005</x:v>
      </x:c>
      <x:c r="C122" s="43" t="str">
        <x:v>BASE</x:v>
      </x:c>
      <x:c r="D122" s="43" t="str">
        <x:v>RMB_MILLION</x:v>
      </x:c>
      <x:c r="E122" s="43" t="n">
        <x:v>203641.82143448</x:v>
      </x:c>
      <x:c r="F122" s="43" t="n">
        <x:v>2026</x:v>
      </x:c>
      <x:c r="G122" s="39"/>
      <x:c r="H122" s="39"/>
    </x:row>
    <x:row r="123">
      <x:c r="A123" s="43" t="str">
        <x:v>BS_TOTAL_NONCURRENT_ASSETS_OTHER_IMMATERIAL_COMPONENTS</x:v>
      </x:c>
      <x:c r="B123" s="43" t="str">
        <x:v>H3B_ATTEMPT005</x:v>
      </x:c>
      <x:c r="C123" s="43" t="str">
        <x:v>BASE</x:v>
      </x:c>
      <x:c r="D123" s="43" t="str">
        <x:v>RMB_MILLION</x:v>
      </x:c>
      <x:c r="E123" s="43" t="n">
        <x:v>83743.43611891</x:v>
      </x:c>
      <x:c r="F123" s="43" t="n">
        <x:v>2026</x:v>
      </x:c>
      <x:c r="G123" s="39"/>
      <x:c r="H123" s="39"/>
    </x:row>
    <x:row r="124">
      <x:c r="A124" s="43" t="str">
        <x:v>BS_TOTAL_NONCURRENT_LIABILITIES</x:v>
      </x:c>
      <x:c r="B124" s="43" t="str">
        <x:v>H3B_ATTEMPT005</x:v>
      </x:c>
      <x:c r="C124" s="43" t="str">
        <x:v>BASE</x:v>
      </x:c>
      <x:c r="D124" s="43" t="str">
        <x:v>RMB_MILLION</x:v>
      </x:c>
      <x:c r="E124" s="43" t="n">
        <x:v>38028.81799967</x:v>
      </x:c>
      <x:c r="F124" s="43" t="n">
        <x:v>2026</x:v>
      </x:c>
      <x:c r="G124" s="39"/>
      <x:c r="H124" s="39"/>
    </x:row>
    <x:row r="125">
      <x:c r="A125" s="43" t="str">
        <x:v>BS_TOTAL_NONCURRENT_LIABILITIES_OTHER_IMMATERIAL_COMPONENTS</x:v>
      </x:c>
      <x:c r="B125" s="43" t="str">
        <x:v>H3B_ATTEMPT005</x:v>
      </x:c>
      <x:c r="C125" s="43" t="str">
        <x:v>BASE</x:v>
      </x:c>
      <x:c r="D125" s="43" t="str">
        <x:v>RMB_MILLION</x:v>
      </x:c>
      <x:c r="E125" s="43" t="n">
        <x:v>17381.25834439</x:v>
      </x:c>
      <x:c r="F125" s="43" t="n">
        <x:v>2026</x:v>
      </x:c>
      <x:c r="G125" s="39"/>
      <x:c r="H125" s="39"/>
    </x:row>
    <x:row r="126">
      <x:c r="A126" s="43" t="str">
        <x:v>BS_TRADING_FINANCIAL_ASSETS</x:v>
      </x:c>
      <x:c r="B126" s="43" t="str">
        <x:v>H3B_ATTEMPT005</x:v>
      </x:c>
      <x:c r="C126" s="43" t="str">
        <x:v>BASE</x:v>
      </x:c>
      <x:c r="D126" s="43" t="str">
        <x:v>RMB_MILLION</x:v>
      </x:c>
      <x:c r="E126" s="43" t="n">
        <x:v>756.70173273</x:v>
      </x:c>
      <x:c r="F126" s="43" t="n">
        <x:v>2026</x:v>
      </x:c>
      <x:c r="G126" s="39"/>
      <x:c r="H126" s="39"/>
    </x:row>
    <x:row r="127">
      <x:c r="A127" s="43" t="str">
        <x:v>BS_TRADING_FINANCIAL_LIABILITIES</x:v>
      </x:c>
      <x:c r="B127" s="43" t="str">
        <x:v>H3B_ATTEMPT005</x:v>
      </x:c>
      <x:c r="C127" s="43" t="str">
        <x:v>BASE</x:v>
      </x:c>
      <x:c r="D127" s="43" t="str">
        <x:v>RMB_MILLION</x:v>
      </x:c>
      <x:c r="E127" s="43" t="n">
        <x:v>752.14693804</x:v>
      </x:c>
      <x:c r="F127" s="43" t="n">
        <x:v>2026</x:v>
      </x:c>
      <x:c r="G127" s="39"/>
      <x:c r="H127" s="39"/>
    </x:row>
    <x:row r="128">
      <x:c r="A128" s="43" t="str">
        <x:v>BS_TREASURY_SHARES</x:v>
      </x:c>
      <x:c r="B128" s="43" t="str">
        <x:v>H3B_ATTEMPT005</x:v>
      </x:c>
      <x:c r="C128" s="43" t="str">
        <x:v>BASE</x:v>
      </x:c>
      <x:c r="D128" s="43" t="str">
        <x:v>RMB_MILLION</x:v>
      </x:c>
      <x:c r="E128" s="43" t="n">
        <x:v>-8151.117</x:v>
      </x:c>
      <x:c r="F128" s="43" t="n">
        <x:v>2026</x:v>
      </x:c>
      <x:c r="G128" s="39"/>
      <x:c r="H128" s="39"/>
    </x:row>
    <x:row r="129">
      <x:c r="A129" s="43" t="str">
        <x:v>BS_AP</x:v>
      </x:c>
      <x:c r="B129" s="43" t="str">
        <x:v>H3B_ATTEMPT005</x:v>
      </x:c>
      <x:c r="C129" s="43" t="str">
        <x:v>BASE</x:v>
      </x:c>
      <x:c r="D129" s="43" t="str">
        <x:v>RMB_MILLION</x:v>
      </x:c>
      <x:c r="E129" s="43" t="n">
        <x:v>101325.87102088</x:v>
      </x:c>
      <x:c r="F129" s="43" t="n">
        <x:v>2027</x:v>
      </x:c>
      <x:c r="G129" s="39"/>
      <x:c r="H129" s="39"/>
    </x:row>
    <x:row r="130">
      <x:c r="A130" s="43" t="str">
        <x:v>BS_AR</x:v>
      </x:c>
      <x:c r="B130" s="43" t="str">
        <x:v>H3B_ATTEMPT005</x:v>
      </x:c>
      <x:c r="C130" s="43" t="str">
        <x:v>BASE</x:v>
      </x:c>
      <x:c r="D130" s="43" t="str">
        <x:v>RMB_MILLION</x:v>
      </x:c>
      <x:c r="E130" s="43" t="n">
        <x:v>46627.25894051</x:v>
      </x:c>
      <x:c r="F130" s="43" t="n">
        <x:v>2027</x:v>
      </x:c>
      <x:c r="G130" s="39"/>
      <x:c r="H130" s="39"/>
    </x:row>
    <x:row r="131">
      <x:c r="A131" s="43" t="str">
        <x:v>BS_CAPITAL_RESERVE</x:v>
      </x:c>
      <x:c r="B131" s="43" t="str">
        <x:v>H3B_ATTEMPT005</x:v>
      </x:c>
      <x:c r="C131" s="43" t="str">
        <x:v>BASE</x:v>
      </x:c>
      <x:c r="D131" s="43" t="str">
        <x:v>RMB_MILLION</x:v>
      </x:c>
      <x:c r="E131" s="43" t="n">
        <x:v>45350.72</x:v>
      </x:c>
      <x:c r="F131" s="43" t="n">
        <x:v>2027</x:v>
      </x:c>
      <x:c r="G131" s="39"/>
      <x:c r="H131" s="39"/>
    </x:row>
    <x:row r="132">
      <x:c r="A132" s="43" t="str">
        <x:v>BS_CASH</x:v>
      </x:c>
      <x:c r="B132" s="43" t="str">
        <x:v>H3B_ATTEMPT005</x:v>
      </x:c>
      <x:c r="C132" s="43" t="str">
        <x:v>BASE</x:v>
      </x:c>
      <x:c r="D132" s="43" t="str">
        <x:v>RMB_MILLION</x:v>
      </x:c>
      <x:c r="E132" s="43" t="n">
        <x:v>108931.704717</x:v>
      </x:c>
      <x:c r="F132" s="43" t="n">
        <x:v>2027</x:v>
      </x:c>
      <x:c r="G132" s="39"/>
      <x:c r="H132" s="39"/>
    </x:row>
    <x:row r="133">
      <x:c r="A133" s="43" t="str">
        <x:v>BS_CASH_TAXONOMY_OTHER</x:v>
      </x:c>
      <x:c r="B133" s="43" t="str">
        <x:v>H3B_ATTEMPT005</x:v>
      </x:c>
      <x:c r="C133" s="43" t="str">
        <x:v>BASE</x:v>
      </x:c>
      <x:c r="D133" s="43" t="str">
        <x:v>RMB_MILLION</x:v>
      </x:c>
      <x:c r="E133" s="43" t="n">
        <x:v>91.67693287</x:v>
      </x:c>
      <x:c r="F133" s="43" t="n">
        <x:v>2027</x:v>
      </x:c>
      <x:c r="G133" s="39"/>
      <x:c r="H133" s="39"/>
    </x:row>
    <x:row r="134">
      <x:c r="A134" s="43" t="str">
        <x:v>BS_CIP</x:v>
      </x:c>
      <x:c r="B134" s="43" t="str">
        <x:v>H3B_ATTEMPT005</x:v>
      </x:c>
      <x:c r="C134" s="43" t="str">
        <x:v>BASE</x:v>
      </x:c>
      <x:c r="D134" s="43" t="str">
        <x:v>RMB_MILLION</x:v>
      </x:c>
      <x:c r="E134" s="43" t="n">
        <x:v>5511.66249005</x:v>
      </x:c>
      <x:c r="F134" s="43" t="n">
        <x:v>2027</x:v>
      </x:c>
      <x:c r="G134" s="39"/>
      <x:c r="H134" s="39"/>
    </x:row>
    <x:row r="135">
      <x:c r="A135" s="43" t="str">
        <x:v>BS_CONTRACT_ASSETS</x:v>
      </x:c>
      <x:c r="B135" s="43" t="str">
        <x:v>H3B_ATTEMPT005</x:v>
      </x:c>
      <x:c r="C135" s="43" t="str">
        <x:v>BASE</x:v>
      </x:c>
      <x:c r="D135" s="43" t="str">
        <x:v>RMB_MILLION</x:v>
      </x:c>
      <x:c r="E135" s="43" t="n">
        <x:v>4871.86832693</x:v>
      </x:c>
      <x:c r="F135" s="43" t="n">
        <x:v>2027</x:v>
      </x:c>
      <x:c r="G135" s="39"/>
      <x:c r="H135" s="39"/>
    </x:row>
    <x:row r="136">
      <x:c r="A136" s="43" t="str">
        <x:v>BS_CONTRACT_LIABILITIES</x:v>
      </x:c>
      <x:c r="B136" s="43" t="str">
        <x:v>H3B_ATTEMPT005</x:v>
      </x:c>
      <x:c r="C136" s="43" t="str">
        <x:v>BASE</x:v>
      </x:c>
      <x:c r="D136" s="43" t="str">
        <x:v>RMB_MILLION</x:v>
      </x:c>
      <x:c r="E136" s="43" t="n">
        <x:v>53635.69098372</x:v>
      </x:c>
      <x:c r="F136" s="43" t="n">
        <x:v>2027</x:v>
      </x:c>
      <x:c r="G136" s="39"/>
      <x:c r="H136" s="39"/>
    </x:row>
    <x:row r="137">
      <x:c r="A137" s="43" t="str">
        <x:v>BS_CURRENT_PORTION_DEBT</x:v>
      </x:c>
      <x:c r="B137" s="43" t="str">
        <x:v>H3B_ATTEMPT005</x:v>
      </x:c>
      <x:c r="C137" s="43" t="str">
        <x:v>BASE</x:v>
      </x:c>
      <x:c r="D137" s="43" t="str">
        <x:v>RMB_MILLION</x:v>
      </x:c>
      <x:c r="E137" s="43" t="n">
        <x:v>0</x:v>
      </x:c>
      <x:c r="F137" s="43" t="n">
        <x:v>2027</x:v>
      </x:c>
      <x:c r="G137" s="39"/>
      <x:c r="H137" s="39"/>
    </x:row>
    <x:row r="138">
      <x:c r="A138" s="43" t="str">
        <x:v>BS_CURRENT_PORTION_NONCURRENT_ASSETS</x:v>
      </x:c>
      <x:c r="B138" s="43" t="str">
        <x:v>H3B_ATTEMPT005</x:v>
      </x:c>
      <x:c r="C138" s="43" t="str">
        <x:v>BASE</x:v>
      </x:c>
      <x:c r="D138" s="43" t="str">
        <x:v>RMB_MILLION</x:v>
      </x:c>
      <x:c r="E138" s="43" t="n">
        <x:v>155654.34125968</x:v>
      </x:c>
      <x:c r="F138" s="43" t="n">
        <x:v>2027</x:v>
      </x:c>
      <x:c r="G138" s="39"/>
      <x:c r="H138" s="39"/>
    </x:row>
    <x:row r="139">
      <x:c r="A139" s="43" t="str">
        <x:v>BS_CURRENT_PORTION_NONCURRENT_ASSETS_FINANCE</x:v>
      </x:c>
      <x:c r="B139" s="43" t="str">
        <x:v>H3B_ATTEMPT005</x:v>
      </x:c>
      <x:c r="C139" s="43" t="str">
        <x:v>BASE</x:v>
      </x:c>
      <x:c r="D139" s="43" t="str">
        <x:v>RMB_MILLION</x:v>
      </x:c>
      <x:c r="E139" s="43" t="n">
        <x:v>291.81325968</x:v>
      </x:c>
      <x:c r="F139" s="43" t="n">
        <x:v>2027</x:v>
      </x:c>
      <x:c r="G139" s="39"/>
      <x:c r="H139" s="39"/>
    </x:row>
    <x:row r="140">
      <x:c r="A140" s="43" t="str">
        <x:v>BS_CURRENT_PORTION_NONCURRENT_ASSETS_TREASURY</x:v>
      </x:c>
      <x:c r="B140" s="43" t="str">
        <x:v>H3B_ATTEMPT005</x:v>
      </x:c>
      <x:c r="C140" s="43" t="str">
        <x:v>BASE</x:v>
      </x:c>
      <x:c r="D140" s="43" t="str">
        <x:v>RMB_MILLION</x:v>
      </x:c>
      <x:c r="E140" s="43" t="n">
        <x:v>155362.528</x:v>
      </x:c>
      <x:c r="F140" s="43" t="n">
        <x:v>2027</x:v>
      </x:c>
      <x:c r="G140" s="39"/>
      <x:c r="H140" s="39"/>
    </x:row>
    <x:row r="141">
      <x:c r="A141" s="43" t="str">
        <x:v>BS_CUSTOMER_DEPOSITS</x:v>
      </x:c>
      <x:c r="B141" s="43" t="str">
        <x:v>H3B_ATTEMPT005</x:v>
      </x:c>
      <x:c r="C141" s="43" t="str">
        <x:v>BASE</x:v>
      </x:c>
      <x:c r="D141" s="43" t="str">
        <x:v>RMB_MILLION</x:v>
      </x:c>
      <x:c r="E141" s="43" t="n">
        <x:v>153.06691068</x:v>
      </x:c>
      <x:c r="F141" s="43" t="n">
        <x:v>2027</x:v>
      </x:c>
      <x:c r="G141" s="39"/>
      <x:c r="H141" s="39"/>
    </x:row>
    <x:row r="142">
      <x:c r="A142" s="43" t="str">
        <x:v>BS_DERIVATIVE_FINANCIAL_ASSETS</x:v>
      </x:c>
      <x:c r="B142" s="43" t="str">
        <x:v>H3B_ATTEMPT005</x:v>
      </x:c>
      <x:c r="C142" s="43" t="str">
        <x:v>BASE</x:v>
      </x:c>
      <x:c r="D142" s="43" t="str">
        <x:v>RMB_MILLION</x:v>
      </x:c>
      <x:c r="E142" s="43" t="n">
        <x:v>2537.41018635</x:v>
      </x:c>
      <x:c r="F142" s="43" t="n">
        <x:v>2027</x:v>
      </x:c>
      <x:c r="G142" s="39"/>
      <x:c r="H142" s="39"/>
    </x:row>
    <x:row r="143">
      <x:c r="A143" s="43" t="str">
        <x:v>BS_DERIVATIVE_LIABILITIES</x:v>
      </x:c>
      <x:c r="B143" s="43" t="str">
        <x:v>H3B_ATTEMPT005</x:v>
      </x:c>
      <x:c r="C143" s="43" t="str">
        <x:v>BASE</x:v>
      </x:c>
      <x:c r="D143" s="43" t="str">
        <x:v>RMB_MILLION</x:v>
      </x:c>
      <x:c r="E143" s="43" t="n">
        <x:v>971.24498732</x:v>
      </x:c>
      <x:c r="F143" s="43" t="n">
        <x:v>2027</x:v>
      </x:c>
      <x:c r="G143" s="39"/>
      <x:c r="H143" s="39"/>
    </x:row>
    <x:row r="144">
      <x:c r="A144" s="43" t="str">
        <x:v>BS_EMPLOYEE_COMP</x:v>
      </x:c>
      <x:c r="B144" s="43" t="str">
        <x:v>H3B_ATTEMPT005</x:v>
      </x:c>
      <x:c r="C144" s="43" t="str">
        <x:v>BASE</x:v>
      </x:c>
      <x:c r="D144" s="43" t="str">
        <x:v>RMB_MILLION</x:v>
      </x:c>
      <x:c r="E144" s="43" t="n">
        <x:v>11008.86189196</x:v>
      </x:c>
      <x:c r="F144" s="43" t="n">
        <x:v>2027</x:v>
      </x:c>
      <x:c r="G144" s="39"/>
      <x:c r="H144" s="39"/>
    </x:row>
    <x:row r="145">
      <x:c r="A145" s="43" t="str">
        <x:v>BS_GOODWILL</x:v>
      </x:c>
      <x:c r="B145" s="43" t="str">
        <x:v>H3B_ATTEMPT005</x:v>
      </x:c>
      <x:c r="C145" s="43" t="str">
        <x:v>BASE</x:v>
      </x:c>
      <x:c r="D145" s="43" t="str">
        <x:v>RMB_MILLION</x:v>
      </x:c>
      <x:c r="E145" s="43" t="n">
        <x:v>39099.18407946</x:v>
      </x:c>
      <x:c r="F145" s="43" t="n">
        <x:v>2027</x:v>
      </x:c>
      <x:c r="G145" s="39"/>
      <x:c r="H145" s="39"/>
    </x:row>
    <x:row r="146">
      <x:c r="A146" s="43" t="str">
        <x:v>BS_INCOME_TAX_PAYABLE</x:v>
      </x:c>
      <x:c r="B146" s="43" t="str">
        <x:v>H3B_ATTEMPT005</x:v>
      </x:c>
      <x:c r="C146" s="43" t="str">
        <x:v>BASE</x:v>
      </x:c>
      <x:c r="D146" s="43" t="str">
        <x:v>RMB_MILLION</x:v>
      </x:c>
      <x:c r="E146" s="43" t="n">
        <x:v>5119.22244582</x:v>
      </x:c>
      <x:c r="F146" s="43" t="n">
        <x:v>2027</x:v>
      </x:c>
      <x:c r="G146" s="39"/>
      <x:c r="H146" s="39"/>
    </x:row>
    <x:row r="147">
      <x:c r="A147" s="43" t="str">
        <x:v>BS_INTANGIBLES</x:v>
      </x:c>
      <x:c r="B147" s="43" t="str">
        <x:v>H3B_ATTEMPT005</x:v>
      </x:c>
      <x:c r="C147" s="43" t="str">
        <x:v>BASE</x:v>
      </x:c>
      <x:c r="D147" s="43" t="str">
        <x:v>RMB_MILLION</x:v>
      </x:c>
      <x:c r="E147" s="43" t="n">
        <x:v>25567.30897947</x:v>
      </x:c>
      <x:c r="F147" s="43" t="n">
        <x:v>2027</x:v>
      </x:c>
      <x:c r="G147" s="39"/>
      <x:c r="H147" s="39"/>
    </x:row>
    <x:row r="148">
      <x:c r="A148" s="43" t="str">
        <x:v>BS_INVENTORY</x:v>
      </x:c>
      <x:c r="B148" s="43" t="str">
        <x:v>H3B_ATTEMPT005</x:v>
      </x:c>
      <x:c r="C148" s="43" t="str">
        <x:v>BASE</x:v>
      </x:c>
      <x:c r="D148" s="43" t="str">
        <x:v>RMB_MILLION</x:v>
      </x:c>
      <x:c r="E148" s="43" t="n">
        <x:v>64156.56278451</x:v>
      </x:c>
      <x:c r="F148" s="43" t="n">
        <x:v>2027</x:v>
      </x:c>
      <x:c r="G148" s="39"/>
      <x:c r="H148" s="39"/>
    </x:row>
    <x:row r="149">
      <x:c r="A149" s="43" t="str">
        <x:v>BS_LOANS_ADVANCES_CURRENT</x:v>
      </x:c>
      <x:c r="B149" s="43" t="str">
        <x:v>H3B_ATTEMPT005</x:v>
      </x:c>
      <x:c r="C149" s="43" t="str">
        <x:v>BASE</x:v>
      </x:c>
      <x:c r="D149" s="43" t="str">
        <x:v>RMB_MILLION</x:v>
      </x:c>
      <x:c r="E149" s="43" t="n">
        <x:v>13444.2499178</x:v>
      </x:c>
      <x:c r="F149" s="43" t="n">
        <x:v>2027</x:v>
      </x:c>
      <x:c r="G149" s="39"/>
      <x:c r="H149" s="39"/>
    </x:row>
    <x:row r="150">
      <x:c r="A150" s="43" t="str">
        <x:v>BS_LONG_TERM_BORROWINGS</x:v>
      </x:c>
      <x:c r="B150" s="43" t="str">
        <x:v>H3B_ATTEMPT005</x:v>
      </x:c>
      <x:c r="C150" s="43" t="str">
        <x:v>BASE</x:v>
      </x:c>
      <x:c r="D150" s="43" t="str">
        <x:v>RMB_MILLION</x:v>
      </x:c>
      <x:c r="E150" s="43" t="n">
        <x:v>21828.89451977</x:v>
      </x:c>
      <x:c r="F150" s="43" t="n">
        <x:v>2027</x:v>
      </x:c>
      <x:c r="G150" s="39"/>
      <x:c r="H150" s="39"/>
    </x:row>
    <x:row r="151">
      <x:c r="A151" s="43" t="str">
        <x:v>BS_LONG_TERM_INVESTMENTS</x:v>
      </x:c>
      <x:c r="B151" s="43" t="str">
        <x:v>H3B_ATTEMPT005</x:v>
      </x:c>
      <x:c r="C151" s="43" t="str">
        <x:v>BASE</x:v>
      </x:c>
      <x:c r="D151" s="43" t="str">
        <x:v>RMB_MILLION</x:v>
      </x:c>
      <x:c r="E151" s="43" t="n">
        <x:v>5450.01292569</x:v>
      </x:c>
      <x:c r="F151" s="43" t="n">
        <x:v>2027</x:v>
      </x:c>
      <x:c r="G151" s="39"/>
      <x:c r="H151" s="39"/>
    </x:row>
    <x:row r="152">
      <x:c r="A152" s="43" t="str">
        <x:v>BS_NCI</x:v>
      </x:c>
      <x:c r="B152" s="43" t="str">
        <x:v>H3B_ATTEMPT005</x:v>
      </x:c>
      <x:c r="C152" s="43" t="str">
        <x:v>BASE</x:v>
      </x:c>
      <x:c r="D152" s="43" t="str">
        <x:v>RMB_MILLION</x:v>
      </x:c>
      <x:c r="E152" s="43" t="n">
        <x:v>14359.46856478</x:v>
      </x:c>
      <x:c r="F152" s="43" t="n">
        <x:v>2027</x:v>
      </x:c>
      <x:c r="G152" s="39"/>
      <x:c r="H152" s="39"/>
    </x:row>
    <x:row r="153">
      <x:c r="A153" s="43" t="str">
        <x:v>BS_NOTES_PAYABLE</x:v>
      </x:c>
      <x:c r="B153" s="43" t="str">
        <x:v>H3B_ATTEMPT005</x:v>
      </x:c>
      <x:c r="C153" s="43" t="str">
        <x:v>BASE</x:v>
      </x:c>
      <x:c r="D153" s="43" t="str">
        <x:v>RMB_MILLION</x:v>
      </x:c>
      <x:c r="E153" s="43" t="n">
        <x:v>30955.6523498</x:v>
      </x:c>
      <x:c r="F153" s="43" t="n">
        <x:v>2027</x:v>
      </x:c>
      <x:c r="G153" s="39"/>
      <x:c r="H153" s="39"/>
    </x:row>
    <x:row r="154">
      <x:c r="A154" s="43" t="str">
        <x:v>BS_NOTES_RECEIVABLE</x:v>
      </x:c>
      <x:c r="B154" s="43" t="str">
        <x:v>H3B_ATTEMPT005</x:v>
      </x:c>
      <x:c r="C154" s="43" t="str">
        <x:v>BASE</x:v>
      </x:c>
      <x:c r="D154" s="43" t="str">
        <x:v>RMB_MILLION</x:v>
      </x:c>
      <x:c r="E154" s="43" t="n">
        <x:v>5988.41103203</x:v>
      </x:c>
      <x:c r="F154" s="43" t="n">
        <x:v>2027</x:v>
      </x:c>
      <x:c r="G154" s="39"/>
      <x:c r="H154" s="39"/>
    </x:row>
    <x:row r="155">
      <x:c r="A155" s="43" t="str">
        <x:v>BS_OTHER_CURRENT_ASSETS</x:v>
      </x:c>
      <x:c r="B155" s="43" t="str">
        <x:v>H3B_ATTEMPT005</x:v>
      </x:c>
      <x:c r="C155" s="43" t="str">
        <x:v>BASE</x:v>
      </x:c>
      <x:c r="D155" s="43" t="str">
        <x:v>RMB_MILLION</x:v>
      </x:c>
      <x:c r="E155" s="43" t="n">
        <x:v>28761.79688723</x:v>
      </x:c>
      <x:c r="F155" s="43" t="n">
        <x:v>2027</x:v>
      </x:c>
      <x:c r="G155" s="39"/>
      <x:c r="H155" s="39"/>
    </x:row>
    <x:row r="156">
      <x:c r="A156" s="43" t="str">
        <x:v>BS_OTHER_CURRENT_ASSETS_HEDGE</x:v>
      </x:c>
      <x:c r="B156" s="43" t="str">
        <x:v>H3B_ATTEMPT005</x:v>
      </x:c>
      <x:c r="C156" s="43" t="str">
        <x:v>BASE</x:v>
      </x:c>
      <x:c r="D156" s="43" t="str">
        <x:v>RMB_MILLION</x:v>
      </x:c>
      <x:c r="E156" s="43" t="n">
        <x:v>3653.92321625</x:v>
      </x:c>
      <x:c r="F156" s="43" t="n">
        <x:v>2027</x:v>
      </x:c>
      <x:c r="G156" s="39"/>
      <x:c r="H156" s="39"/>
    </x:row>
    <x:row r="157">
      <x:c r="A157" s="43" t="str">
        <x:v>BS_OTHER_CURRENT_ASSETS_OPERATING</x:v>
      </x:c>
      <x:c r="B157" s="43" t="str">
        <x:v>H3B_ATTEMPT005</x:v>
      </x:c>
      <x:c r="C157" s="43" t="str">
        <x:v>BASE</x:v>
      </x:c>
      <x:c r="D157" s="43" t="str">
        <x:v>RMB_MILLION</x:v>
      </x:c>
      <x:c r="E157" s="43" t="n">
        <x:v>23680.73967098</x:v>
      </x:c>
      <x:c r="F157" s="43" t="n">
        <x:v>2027</x:v>
      </x:c>
      <x:c r="G157" s="39"/>
      <x:c r="H157" s="39"/>
    </x:row>
    <x:row r="158">
      <x:c r="A158" s="43" t="str">
        <x:v>BS_OTHER_CURRENT_ASSETS_TREASURY</x:v>
      </x:c>
      <x:c r="B158" s="43" t="str">
        <x:v>H3B_ATTEMPT005</x:v>
      </x:c>
      <x:c r="C158" s="43" t="str">
        <x:v>BASE</x:v>
      </x:c>
      <x:c r="D158" s="43" t="str">
        <x:v>RMB_MILLION</x:v>
      </x:c>
      <x:c r="E158" s="43" t="n">
        <x:v>1427.134</x:v>
      </x:c>
      <x:c r="F158" s="43" t="n">
        <x:v>2027</x:v>
      </x:c>
      <x:c r="G158" s="39"/>
      <x:c r="H158" s="39"/>
    </x:row>
    <x:row r="159">
      <x:c r="A159" s="43" t="str">
        <x:v>BS_OTHER_CURRENT_LIABILITIES</x:v>
      </x:c>
      <x:c r="B159" s="43" t="str">
        <x:v>H3B_ATTEMPT005</x:v>
      </x:c>
      <x:c r="C159" s="43" t="str">
        <x:v>BASE</x:v>
      </x:c>
      <x:c r="D159" s="43" t="str">
        <x:v>RMB_MILLION</x:v>
      </x:c>
      <x:c r="E159" s="43" t="n">
        <x:v>105617.90208842</x:v>
      </x:c>
      <x:c r="F159" s="43" t="n">
        <x:v>2027</x:v>
      </x:c>
      <x:c r="G159" s="39"/>
      <x:c r="H159" s="39"/>
    </x:row>
    <x:row r="160">
      <x:c r="A160" s="43" t="str">
        <x:v>BS_OTHER_CURRENT_LIABILITIES_HEDGE</x:v>
      </x:c>
      <x:c r="B160" s="43" t="str">
        <x:v>H3B_ATTEMPT005</x:v>
      </x:c>
      <x:c r="C160" s="43" t="str">
        <x:v>BASE</x:v>
      </x:c>
      <x:c r="D160" s="43" t="str">
        <x:v>RMB_MILLION</x:v>
      </x:c>
      <x:c r="E160" s="43" t="n">
        <x:v>24.51627203</x:v>
      </x:c>
      <x:c r="F160" s="43" t="n">
        <x:v>2027</x:v>
      </x:c>
      <x:c r="G160" s="39"/>
      <x:c r="H160" s="39"/>
    </x:row>
    <x:row r="161">
      <x:c r="A161" s="43" t="str">
        <x:v>BS_OTHER_CURRENT_LIABILITIES_OPERATING</x:v>
      </x:c>
      <x:c r="B161" s="43" t="str">
        <x:v>H3B_ATTEMPT005</x:v>
      </x:c>
      <x:c r="C161" s="43" t="str">
        <x:v>BASE</x:v>
      </x:c>
      <x:c r="D161" s="43" t="str">
        <x:v>RMB_MILLION</x:v>
      </x:c>
      <x:c r="E161" s="43" t="n">
        <x:v>105593.38581639</x:v>
      </x:c>
      <x:c r="F161" s="43" t="n">
        <x:v>2027</x:v>
      </x:c>
      <x:c r="G161" s="39"/>
      <x:c r="H161" s="39"/>
    </x:row>
    <x:row r="162">
      <x:c r="A162" s="43" t="str">
        <x:v>BS_OTHER_NONCURRENT_FINANCIAL_ASSETS</x:v>
      </x:c>
      <x:c r="B162" s="43" t="str">
        <x:v>H3B_ATTEMPT005</x:v>
      </x:c>
      <x:c r="C162" s="43" t="str">
        <x:v>BASE</x:v>
      </x:c>
      <x:c r="D162" s="43" t="str">
        <x:v>RMB_MILLION</x:v>
      </x:c>
      <x:c r="E162" s="43" t="n">
        <x:v>5462.6191745</x:v>
      </x:c>
      <x:c r="F162" s="43" t="n">
        <x:v>2027</x:v>
      </x:c>
      <x:c r="G162" s="39"/>
      <x:c r="H162" s="39"/>
    </x:row>
    <x:row r="163">
      <x:c r="A163" s="43" t="str">
        <x:v>BS_OTHER_PAYABLES</x:v>
      </x:c>
      <x:c r="B163" s="43" t="str">
        <x:v>H3B_ATTEMPT005</x:v>
      </x:c>
      <x:c r="C163" s="43" t="str">
        <x:v>BASE</x:v>
      </x:c>
      <x:c r="D163" s="43" t="str">
        <x:v>RMB_MILLION</x:v>
      </x:c>
      <x:c r="E163" s="43" t="n">
        <x:v>5505.2909558</x:v>
      </x:c>
      <x:c r="F163" s="43" t="n">
        <x:v>2027</x:v>
      </x:c>
      <x:c r="G163" s="39"/>
      <x:c r="H163" s="39"/>
    </x:row>
    <x:row r="164">
      <x:c r="A164" s="43" t="str">
        <x:v>BS_OTHER_RECEIVABLES</x:v>
      </x:c>
      <x:c r="B164" s="43" t="str">
        <x:v>H3B_ATTEMPT005</x:v>
      </x:c>
      <x:c r="C164" s="43" t="str">
        <x:v>BASE</x:v>
      </x:c>
      <x:c r="D164" s="43" t="str">
        <x:v>RMB_MILLION</x:v>
      </x:c>
      <x:c r="E164" s="43" t="n">
        <x:v>3641.59203362</x:v>
      </x:c>
      <x:c r="F164" s="43" t="n">
        <x:v>2027</x:v>
      </x:c>
      <x:c r="G164" s="39"/>
      <x:c r="H164" s="39"/>
    </x:row>
    <x:row r="165">
      <x:c r="A165" s="43" t="str">
        <x:v>BS_OTHER_RESERVES</x:v>
      </x:c>
      <x:c r="B165" s="43" t="str">
        <x:v>H3B_ATTEMPT005</x:v>
      </x:c>
      <x:c r="C165" s="43" t="str">
        <x:v>BASE</x:v>
      </x:c>
      <x:c r="D165" s="43" t="str">
        <x:v>RMB_MILLION</x:v>
      </x:c>
      <x:c r="E165" s="43" t="n">
        <x:v>11196.537</x:v>
      </x:c>
      <x:c r="F165" s="43" t="n">
        <x:v>2027</x:v>
      </x:c>
      <x:c r="G165" s="39"/>
      <x:c r="H165" s="39"/>
    </x:row>
    <x:row r="166">
      <x:c r="A166" s="43" t="str">
        <x:v>BS_OTHER_TAXES_PAYABLE</x:v>
      </x:c>
      <x:c r="B166" s="43" t="str">
        <x:v>H3B_ATTEMPT005</x:v>
      </x:c>
      <x:c r="C166" s="43" t="str">
        <x:v>BASE</x:v>
      </x:c>
      <x:c r="D166" s="43" t="str">
        <x:v>RMB_MILLION</x:v>
      </x:c>
      <x:c r="E166" s="43" t="n">
        <x:v>3057.53978943</x:v>
      </x:c>
      <x:c r="F166" s="43" t="n">
        <x:v>2027</x:v>
      </x:c>
      <x:c r="G166" s="39"/>
      <x:c r="H166" s="39"/>
    </x:row>
    <x:row r="167">
      <x:c r="A167" s="43" t="str">
        <x:v>BS_PARENT_EQUITY</x:v>
      </x:c>
      <x:c r="B167" s="43" t="str">
        <x:v>H3B_ATTEMPT005</x:v>
      </x:c>
      <x:c r="C167" s="43" t="str">
        <x:v>BASE</x:v>
      </x:c>
      <x:c r="D167" s="43" t="str">
        <x:v>RMB_MILLION</x:v>
      </x:c>
      <x:c r="E167" s="43" t="n">
        <x:v>250321.99398502</x:v>
      </x:c>
      <x:c r="F167" s="43" t="n">
        <x:v>2027</x:v>
      </x:c>
      <x:c r="G167" s="39"/>
      <x:c r="H167" s="39"/>
    </x:row>
    <x:row r="168">
      <x:c r="A168" s="43" t="str">
        <x:v>BS_PPE</x:v>
      </x:c>
      <x:c r="B168" s="43" t="str">
        <x:v>H3B_ATTEMPT005</x:v>
      </x:c>
      <x:c r="C168" s="43" t="str">
        <x:v>BASE</x:v>
      </x:c>
      <x:c r="D168" s="43" t="str">
        <x:v>RMB_MILLION</x:v>
      </x:c>
      <x:c r="E168" s="43" t="n">
        <x:v>46664.561564</x:v>
      </x:c>
      <x:c r="F168" s="43" t="n">
        <x:v>2027</x:v>
      </x:c>
      <x:c r="G168" s="39"/>
      <x:c r="H168" s="39"/>
    </x:row>
    <x:row r="169">
      <x:c r="A169" s="43" t="str">
        <x:v>BS_PREPAYMENTS</x:v>
      </x:c>
      <x:c r="B169" s="43" t="str">
        <x:v>H3B_ATTEMPT005</x:v>
      </x:c>
      <x:c r="C169" s="43" t="str">
        <x:v>BASE</x:v>
      </x:c>
      <x:c r="D169" s="43" t="str">
        <x:v>RMB_MILLION</x:v>
      </x:c>
      <x:c r="E169" s="43" t="n">
        <x:v>3409.55601934</x:v>
      </x:c>
      <x:c r="F169" s="43" t="n">
        <x:v>2027</x:v>
      </x:c>
      <x:c r="G169" s="39"/>
      <x:c r="H169" s="39"/>
    </x:row>
    <x:row r="170">
      <x:c r="A170" s="43" t="str">
        <x:v>BS_RECEIVABLES_FINANCING</x:v>
      </x:c>
      <x:c r="B170" s="43" t="str">
        <x:v>H3B_ATTEMPT005</x:v>
      </x:c>
      <x:c r="C170" s="43" t="str">
        <x:v>BASE</x:v>
      </x:c>
      <x:c r="D170" s="43" t="str">
        <x:v>RMB_MILLION</x:v>
      </x:c>
      <x:c r="E170" s="43" t="n">
        <x:v>17046.50634625</x:v>
      </x:c>
      <x:c r="F170" s="43" t="n">
        <x:v>2027</x:v>
      </x:c>
      <x:c r="G170" s="39"/>
      <x:c r="H170" s="39"/>
    </x:row>
    <x:row r="171">
      <x:c r="A171" s="43" t="str">
        <x:v>BS_RESTRICTED_CASH</x:v>
      </x:c>
      <x:c r="B171" s="43" t="str">
        <x:v>H3B_ATTEMPT005</x:v>
      </x:c>
      <x:c r="C171" s="43" t="str">
        <x:v>BASE</x:v>
      </x:c>
      <x:c r="D171" s="43" t="str">
        <x:v>RMB_MILLION</x:v>
      </x:c>
      <x:c r="E171" s="43" t="n">
        <x:v>5382.10353699</x:v>
      </x:c>
      <x:c r="F171" s="43" t="n">
        <x:v>2027</x:v>
      </x:c>
      <x:c r="G171" s="39"/>
      <x:c r="H171" s="39"/>
    </x:row>
    <x:row r="172">
      <x:c r="A172" s="43" t="str">
        <x:v>BS_RETAINED_EARNINGS</x:v>
      </x:c>
      <x:c r="B172" s="43" t="str">
        <x:v>H3B_ATTEMPT005</x:v>
      </x:c>
      <x:c r="C172" s="43" t="str">
        <x:v>BASE</x:v>
      </x:c>
      <x:c r="D172" s="43" t="str">
        <x:v>RMB_MILLION</x:v>
      </x:c>
      <x:c r="E172" s="43" t="n">
        <x:v>194328.70898502</x:v>
      </x:c>
      <x:c r="F172" s="43" t="n">
        <x:v>2027</x:v>
      </x:c>
      <x:c r="G172" s="39"/>
      <x:c r="H172" s="39"/>
    </x:row>
    <x:row r="173">
      <x:c r="A173" s="43" t="str">
        <x:v>BS_SHARE_CAPITAL</x:v>
      </x:c>
      <x:c r="B173" s="43" t="str">
        <x:v>H3B_ATTEMPT005</x:v>
      </x:c>
      <x:c r="C173" s="43" t="str">
        <x:v>BASE</x:v>
      </x:c>
      <x:c r="D173" s="43" t="str">
        <x:v>RMB_MILLION</x:v>
      </x:c>
      <x:c r="E173" s="43" t="n">
        <x:v>7597.145</x:v>
      </x:c>
      <x:c r="F173" s="43" t="n">
        <x:v>2027</x:v>
      </x:c>
      <x:c r="G173" s="39"/>
      <x:c r="H173" s="39"/>
    </x:row>
    <x:row r="174">
      <x:c r="A174" s="43" t="str">
        <x:v>BS_SHORT_TERM_BORROWING</x:v>
      </x:c>
      <x:c r="B174" s="43" t="str">
        <x:v>H3B_ATTEMPT005</x:v>
      </x:c>
      <x:c r="C174" s="43" t="str">
        <x:v>BASE</x:v>
      </x:c>
      <x:c r="D174" s="43" t="str">
        <x:v>RMB_MILLION</x:v>
      </x:c>
      <x:c r="E174" s="43" t="n">
        <x:v>50110.60945126</x:v>
      </x:c>
      <x:c r="F174" s="43" t="n">
        <x:v>2027</x:v>
      </x:c>
      <x:c r="G174" s="39"/>
      <x:c r="H174" s="39"/>
    </x:row>
    <x:row r="175">
      <x:c r="A175" s="43" t="str">
        <x:v>BS_TAXES_PAYABLE</x:v>
      </x:c>
      <x:c r="B175" s="43" t="str">
        <x:v>H3B_ATTEMPT005</x:v>
      </x:c>
      <x:c r="C175" s="43" t="str">
        <x:v>BASE</x:v>
      </x:c>
      <x:c r="D175" s="43" t="str">
        <x:v>RMB_MILLION</x:v>
      </x:c>
      <x:c r="E175" s="43" t="n">
        <x:v>8176.76223525</x:v>
      </x:c>
      <x:c r="F175" s="43" t="n">
        <x:v>2027</x:v>
      </x:c>
      <x:c r="G175" s="39"/>
      <x:c r="H175" s="39"/>
    </x:row>
    <x:row r="176">
      <x:c r="A176" s="43" t="str">
        <x:v>BS_TERM_DEPOSITS</x:v>
      </x:c>
      <x:c r="B176" s="43" t="str">
        <x:v>H3B_ATTEMPT005</x:v>
      </x:c>
      <x:c r="C176" s="43" t="str">
        <x:v>BASE</x:v>
      </x:c>
      <x:c r="D176" s="43" t="str">
        <x:v>RMB_MILLION</x:v>
      </x:c>
      <x:c r="E176" s="43" t="n">
        <x:v>13630.74136416</x:v>
      </x:c>
      <x:c r="F176" s="43" t="n">
        <x:v>2027</x:v>
      </x:c>
      <x:c r="G176" s="39"/>
      <x:c r="H176" s="39"/>
    </x:row>
    <x:row r="177">
      <x:c r="A177" s="43" t="str">
        <x:v>BS_TOTAL_ASSETS</x:v>
      </x:c>
      <x:c r="B177" s="43" t="str">
        <x:v>H3B_ATTEMPT005</x:v>
      </x:c>
      <x:c r="C177" s="43" t="str">
        <x:v>BASE</x:v>
      </x:c>
      <x:c r="D177" s="43" t="str">
        <x:v>RMB_MILLION</x:v>
      </x:c>
      <x:c r="E177" s="43" t="n">
        <x:v>673410.20154296</x:v>
      </x:c>
      <x:c r="F177" s="43" t="n">
        <x:v>2027</x:v>
      </x:c>
      <x:c r="G177" s="39"/>
      <x:c r="H177" s="39"/>
    </x:row>
    <x:row r="178">
      <x:c r="A178" s="43" t="str">
        <x:v>BS_TOTAL_CURRENT_ASSETS</x:v>
      </x:c>
      <x:c r="B178" s="43" t="str">
        <x:v>H3B_ATTEMPT005</x:v>
      </x:c>
      <x:c r="C178" s="43" t="str">
        <x:v>BASE</x:v>
      </x:c>
      <x:c r="D178" s="43" t="str">
        <x:v>RMB_MILLION</x:v>
      </x:c>
      <x:c r="E178" s="43" t="n">
        <x:v>455882.43774855</x:v>
      </x:c>
      <x:c r="F178" s="43" t="n">
        <x:v>2027</x:v>
      </x:c>
      <x:c r="G178" s="39"/>
      <x:c r="H178" s="39"/>
    </x:row>
    <x:row r="179">
      <x:c r="A179" s="43" t="str">
        <x:v>BS_TOTAL_CURRENT_ASSETS_OTHER_IMMATERIAL_COMPONENTS</x:v>
      </x:c>
      <x:c r="B179" s="43" t="str">
        <x:v>H3B_ATTEMPT005</x:v>
      </x:c>
      <x:c r="C179" s="43" t="str">
        <x:v>BASE</x:v>
      </x:c>
      <x:c r="D179" s="43" t="str">
        <x:v>RMB_MILLION</x:v>
      </x:c>
      <x:c r="E179" s="43" t="n">
        <x:v>0</x:v>
      </x:c>
      <x:c r="F179" s="43" t="n">
        <x:v>2027</x:v>
      </x:c>
      <x:c r="G179" s="39"/>
      <x:c r="H179" s="39"/>
    </x:row>
    <x:row r="180">
      <x:c r="A180" s="43" t="str">
        <x:v>BS_TOTAL_CURRENT_LIABILITIES</x:v>
      </x:c>
      <x:c r="B180" s="43" t="str">
        <x:v>H3B_ATTEMPT005</x:v>
      </x:c>
      <x:c r="C180" s="43" t="str">
        <x:v>BASE</x:v>
      </x:c>
      <x:c r="D180" s="43" t="str">
        <x:v>RMB_MILLION</x:v>
      </x:c>
      <x:c r="E180" s="43" t="n">
        <x:v>368267.24946235</x:v>
      </x:c>
      <x:c r="F180" s="43" t="n">
        <x:v>2027</x:v>
      </x:c>
      <x:c r="G180" s="39"/>
      <x:c r="H180" s="39"/>
    </x:row>
    <x:row r="181">
      <x:c r="A181" s="43" t="str">
        <x:v>BS_TOTAL_CURRENT_LIABILITIES_OTHER_IMMATERIAL_COMPONENTS</x:v>
      </x:c>
      <x:c r="B181" s="43" t="str">
        <x:v>H3B_ATTEMPT005</x:v>
      </x:c>
      <x:c r="C181" s="43" t="str">
        <x:v>BASE</x:v>
      </x:c>
      <x:c r="D181" s="43" t="str">
        <x:v>RMB_MILLION</x:v>
      </x:c>
      <x:c r="E181" s="43" t="n">
        <x:v>0</x:v>
      </x:c>
      <x:c r="F181" s="43" t="n">
        <x:v>2027</x:v>
      </x:c>
      <x:c r="G181" s="39"/>
      <x:c r="H181" s="39"/>
    </x:row>
    <x:row r="182">
      <x:c r="A182" s="43" t="str">
        <x:v>BS_TOTAL_EQUITY</x:v>
      </x:c>
      <x:c r="B182" s="43" t="str">
        <x:v>H3B_ATTEMPT005</x:v>
      </x:c>
      <x:c r="C182" s="43" t="str">
        <x:v>BASE</x:v>
      </x:c>
      <x:c r="D182" s="43" t="str">
        <x:v>RMB_MILLION</x:v>
      </x:c>
      <x:c r="E182" s="43" t="n">
        <x:v>264681.4625498</x:v>
      </x:c>
      <x:c r="F182" s="43" t="n">
        <x:v>2027</x:v>
      </x:c>
      <x:c r="G182" s="39"/>
      <x:c r="H182" s="39"/>
    </x:row>
    <x:row r="183">
      <x:c r="A183" s="43" t="str">
        <x:v>BS_TOTAL_LIABILITIES</x:v>
      </x:c>
      <x:c r="B183" s="43" t="str">
        <x:v>H3B_ATTEMPT005</x:v>
      </x:c>
      <x:c r="C183" s="43" t="str">
        <x:v>BASE</x:v>
      </x:c>
      <x:c r="D183" s="43" t="str">
        <x:v>RMB_MILLION</x:v>
      </x:c>
      <x:c r="E183" s="43" t="n">
        <x:v>408728.73899316</x:v>
      </x:c>
      <x:c r="F183" s="43" t="n">
        <x:v>2027</x:v>
      </x:c>
      <x:c r="G183" s="39"/>
      <x:c r="H183" s="39"/>
    </x:row>
    <x:row r="184">
      <x:c r="A184" s="43" t="str">
        <x:v>BS_TOTAL_NONCURRENT_ASSETS</x:v>
      </x:c>
      <x:c r="B184" s="43" t="str">
        <x:v>H3B_ATTEMPT005</x:v>
      </x:c>
      <x:c r="C184" s="43" t="str">
        <x:v>BASE</x:v>
      </x:c>
      <x:c r="D184" s="43" t="str">
        <x:v>RMB_MILLION</x:v>
      </x:c>
      <x:c r="E184" s="43" t="n">
        <x:v>217527.76379441</x:v>
      </x:c>
      <x:c r="F184" s="43" t="n">
        <x:v>2027</x:v>
      </x:c>
      <x:c r="G184" s="39"/>
      <x:c r="H184" s="39"/>
    </x:row>
    <x:row r="185">
      <x:c r="A185" s="43" t="str">
        <x:v>BS_TOTAL_NONCURRENT_ASSETS_OTHER_IMMATERIAL_COMPONENTS</x:v>
      </x:c>
      <x:c r="B185" s="43" t="str">
        <x:v>H3B_ATTEMPT005</x:v>
      </x:c>
      <x:c r="C185" s="43" t="str">
        <x:v>BASE</x:v>
      </x:c>
      <x:c r="D185" s="43" t="str">
        <x:v>RMB_MILLION</x:v>
      </x:c>
      <x:c r="E185" s="43" t="n">
        <x:v>89772.41458124</x:v>
      </x:c>
      <x:c r="F185" s="43" t="n">
        <x:v>2027</x:v>
      </x:c>
      <x:c r="G185" s="39"/>
      <x:c r="H185" s="39"/>
    </x:row>
    <x:row r="186">
      <x:c r="A186" s="43" t="str">
        <x:v>BS_TOTAL_NONCURRENT_LIABILITIES</x:v>
      </x:c>
      <x:c r="B186" s="43" t="str">
        <x:v>H3B_ATTEMPT005</x:v>
      </x:c>
      <x:c r="C186" s="43" t="str">
        <x:v>BASE</x:v>
      </x:c>
      <x:c r="D186" s="43" t="str">
        <x:v>RMB_MILLION</x:v>
      </x:c>
      <x:c r="E186" s="43" t="n">
        <x:v>40461.48953081</x:v>
      </x:c>
      <x:c r="F186" s="43" t="n">
        <x:v>2027</x:v>
      </x:c>
      <x:c r="G186" s="39"/>
      <x:c r="H186" s="39"/>
    </x:row>
    <x:row r="187">
      <x:c r="A187" s="43" t="str">
        <x:v>BS_TOTAL_NONCURRENT_LIABILITIES_OTHER_IMMATERIAL_COMPONENTS</x:v>
      </x:c>
      <x:c r="B187" s="43" t="str">
        <x:v>H3B_ATTEMPT005</x:v>
      </x:c>
      <x:c r="C187" s="43" t="str">
        <x:v>BASE</x:v>
      </x:c>
      <x:c r="D187" s="43" t="str">
        <x:v>RMB_MILLION</x:v>
      </x:c>
      <x:c r="E187" s="43" t="n">
        <x:v>18632.59501104</x:v>
      </x:c>
      <x:c r="F187" s="43" t="n">
        <x:v>2027</x:v>
      </x:c>
      <x:c r="G187" s="39"/>
      <x:c r="H187" s="39"/>
    </x:row>
    <x:row r="188">
      <x:c r="A188" s="43" t="str">
        <x:v>BS_TRADING_FINANCIAL_ASSETS</x:v>
      </x:c>
      <x:c r="B188" s="43" t="str">
        <x:v>H3B_ATTEMPT005</x:v>
      </x:c>
      <x:c r="C188" s="43" t="str">
        <x:v>BASE</x:v>
      </x:c>
      <x:c r="D188" s="43" t="str">
        <x:v>RMB_MILLION</x:v>
      </x:c>
      <x:c r="E188" s="43" t="n">
        <x:v>811.1792973</x:v>
      </x:c>
      <x:c r="F188" s="43" t="n">
        <x:v>2027</x:v>
      </x:c>
      <x:c r="G188" s="39"/>
      <x:c r="H188" s="39"/>
    </x:row>
    <x:row r="189">
      <x:c r="A189" s="43" t="str">
        <x:v>BS_TRADING_FINANCIAL_LIABILITIES</x:v>
      </x:c>
      <x:c r="B189" s="43" t="str">
        <x:v>H3B_ATTEMPT005</x:v>
      </x:c>
      <x:c r="C189" s="43" t="str">
        <x:v>BASE</x:v>
      </x:c>
      <x:c r="D189" s="43" t="str">
        <x:v>RMB_MILLION</x:v>
      </x:c>
      <x:c r="E189" s="43" t="n">
        <x:v>806.29658726</x:v>
      </x:c>
      <x:c r="F189" s="43" t="n">
        <x:v>2027</x:v>
      </x:c>
      <x:c r="G189" s="39"/>
      <x:c r="H189" s="39"/>
    </x:row>
    <x:row r="190">
      <x:c r="A190" s="43" t="str">
        <x:v>BS_TREASURY_SHARES</x:v>
      </x:c>
      <x:c r="B190" s="43" t="str">
        <x:v>H3B_ATTEMPT005</x:v>
      </x:c>
      <x:c r="C190" s="43" t="str">
        <x:v>BASE</x:v>
      </x:c>
      <x:c r="D190" s="43" t="str">
        <x:v>RMB_MILLION</x:v>
      </x:c>
      <x:c r="E190" s="43" t="n">
        <x:v>-8151.117</x:v>
      </x:c>
      <x:c r="F190" s="43" t="n">
        <x:v>2027</x:v>
      </x:c>
      <x:c r="G190" s="39"/>
      <x:c r="H190" s="39"/>
    </x:row>
    <x:row r="191">
      <x:c r="A191" s="43" t="str">
        <x:v>BS_AP</x:v>
      </x:c>
      <x:c r="B191" s="43" t="str">
        <x:v>H3B_ATTEMPT005</x:v>
      </x:c>
      <x:c r="C191" s="43" t="str">
        <x:v>BASE</x:v>
      </x:c>
      <x:c r="D191" s="43" t="str">
        <x:v>RMB_MILLION</x:v>
      </x:c>
      <x:c r="E191" s="43" t="n">
        <x:v>109026.0099186</x:v>
      </x:c>
      <x:c r="F191" s="43" t="n">
        <x:v>2028</x:v>
      </x:c>
      <x:c r="G191" s="39"/>
      <x:c r="H191" s="39"/>
    </x:row>
    <x:row r="192">
      <x:c r="A192" s="43" t="str">
        <x:v>BS_AR</x:v>
      </x:c>
      <x:c r="B192" s="43" t="str">
        <x:v>H3B_ATTEMPT005</x:v>
      </x:c>
      <x:c r="C192" s="43" t="str">
        <x:v>BASE</x:v>
      </x:c>
      <x:c r="D192" s="43" t="str">
        <x:v>RMB_MILLION</x:v>
      </x:c>
      <x:c r="E192" s="43" t="n">
        <x:v>49466.53711289</x:v>
      </x:c>
      <x:c r="F192" s="43" t="n">
        <x:v>2028</x:v>
      </x:c>
      <x:c r="G192" s="39"/>
      <x:c r="H192" s="39"/>
    </x:row>
    <x:row r="193">
      <x:c r="A193" s="43" t="str">
        <x:v>BS_CAPITAL_RESERVE</x:v>
      </x:c>
      <x:c r="B193" s="43" t="str">
        <x:v>H3B_ATTEMPT005</x:v>
      </x:c>
      <x:c r="C193" s="43" t="str">
        <x:v>BASE</x:v>
      </x:c>
      <x:c r="D193" s="43" t="str">
        <x:v>RMB_MILLION</x:v>
      </x:c>
      <x:c r="E193" s="43" t="n">
        <x:v>45350.72</x:v>
      </x:c>
      <x:c r="F193" s="43" t="n">
        <x:v>2028</x:v>
      </x:c>
      <x:c r="G193" s="39"/>
      <x:c r="H193" s="39"/>
    </x:row>
    <x:row r="194">
      <x:c r="A194" s="43" t="str">
        <x:v>BS_CASH</x:v>
      </x:c>
      <x:c r="B194" s="43" t="str">
        <x:v>H3B_ATTEMPT005</x:v>
      </x:c>
      <x:c r="C194" s="43" t="str">
        <x:v>BASE</x:v>
      </x:c>
      <x:c r="D194" s="43" t="str">
        <x:v>RMB_MILLION</x:v>
      </x:c>
      <x:c r="E194" s="43" t="n">
        <x:v>123986.58012872</x:v>
      </x:c>
      <x:c r="F194" s="43" t="n">
        <x:v>2028</x:v>
      </x:c>
      <x:c r="G194" s="39"/>
      <x:c r="H194" s="39"/>
    </x:row>
    <x:row r="195">
      <x:c r="A195" s="43" t="str">
        <x:v>BS_CASH_TAXONOMY_OTHER</x:v>
      </x:c>
      <x:c r="B195" s="43" t="str">
        <x:v>H3B_ATTEMPT005</x:v>
      </x:c>
      <x:c r="C195" s="43" t="str">
        <x:v>BASE</x:v>
      </x:c>
      <x:c r="D195" s="43" t="str">
        <x:v>RMB_MILLION</x:v>
      </x:c>
      <x:c r="E195" s="43" t="n">
        <x:v>98.99533867</x:v>
      </x:c>
      <x:c r="F195" s="43" t="n">
        <x:v>2028</x:v>
      </x:c>
      <x:c r="G195" s="39"/>
      <x:c r="H195" s="39"/>
    </x:row>
    <x:row r="196">
      <x:c r="A196" s="43" t="str">
        <x:v>BS_CIP</x:v>
      </x:c>
      <x:c r="B196" s="43" t="str">
        <x:v>H3B_ATTEMPT005</x:v>
      </x:c>
      <x:c r="C196" s="43" t="str">
        <x:v>BASE</x:v>
      </x:c>
      <x:c r="D196" s="43" t="str">
        <x:v>RMB_MILLION</x:v>
      </x:c>
      <x:c r="E196" s="43" t="n">
        <x:v>6502.86981101</x:v>
      </x:c>
      <x:c r="F196" s="43" t="n">
        <x:v>2028</x:v>
      </x:c>
      <x:c r="G196" s="39"/>
      <x:c r="H196" s="39"/>
    </x:row>
    <x:row r="197">
      <x:c r="A197" s="43" t="str">
        <x:v>BS_CONTRACT_ASSETS</x:v>
      </x:c>
      <x:c r="B197" s="43" t="str">
        <x:v>H3B_ATTEMPT005</x:v>
      </x:c>
      <x:c r="C197" s="43" t="str">
        <x:v>BASE</x:v>
      </x:c>
      <x:c r="D197" s="43" t="str">
        <x:v>RMB_MILLION</x:v>
      </x:c>
      <x:c r="E197" s="43" t="n">
        <x:v>5260.78087334</x:v>
      </x:c>
      <x:c r="F197" s="43" t="n">
        <x:v>2028</x:v>
      </x:c>
      <x:c r="G197" s="39"/>
      <x:c r="H197" s="39"/>
    </x:row>
    <x:row r="198">
      <x:c r="A198" s="43" t="str">
        <x:v>BS_CONTRACT_LIABILITIES</x:v>
      </x:c>
      <x:c r="B198" s="43" t="str">
        <x:v>H3B_ATTEMPT005</x:v>
      </x:c>
      <x:c r="C198" s="43" t="str">
        <x:v>BASE</x:v>
      </x:c>
      <x:c r="D198" s="43" t="str">
        <x:v>RMB_MILLION</x:v>
      </x:c>
      <x:c r="E198" s="43" t="n">
        <x:v>57917.33239088</x:v>
      </x:c>
      <x:c r="F198" s="43" t="n">
        <x:v>2028</x:v>
      </x:c>
      <x:c r="G198" s="39"/>
      <x:c r="H198" s="39"/>
    </x:row>
    <x:row r="199">
      <x:c r="A199" s="43" t="str">
        <x:v>BS_CURRENT_PORTION_DEBT</x:v>
      </x:c>
      <x:c r="B199" s="43" t="str">
        <x:v>H3B_ATTEMPT005</x:v>
      </x:c>
      <x:c r="C199" s="43" t="str">
        <x:v>BASE</x:v>
      </x:c>
      <x:c r="D199" s="43" t="str">
        <x:v>RMB_MILLION</x:v>
      </x:c>
      <x:c r="E199" s="43" t="n">
        <x:v>0</x:v>
      </x:c>
      <x:c r="F199" s="43" t="n">
        <x:v>2028</x:v>
      </x:c>
      <x:c r="G199" s="39"/>
      <x:c r="H199" s="39"/>
    </x:row>
    <x:row r="200">
      <x:c r="A200" s="43" t="str">
        <x:v>BS_CURRENT_PORTION_NONCURRENT_ASSETS</x:v>
      </x:c>
      <x:c r="B200" s="43" t="str">
        <x:v>H3B_ATTEMPT005</x:v>
      </x:c>
      <x:c r="C200" s="43" t="str">
        <x:v>BASE</x:v>
      </x:c>
      <x:c r="D200" s="43" t="str">
        <x:v>RMB_MILLION</x:v>
      </x:c>
      <x:c r="E200" s="43" t="n">
        <x:v>155677.63619096</x:v>
      </x:c>
      <x:c r="F200" s="43" t="n">
        <x:v>2028</x:v>
      </x:c>
      <x:c r="G200" s="39"/>
      <x:c r="H200" s="39"/>
    </x:row>
    <x:row r="201">
      <x:c r="A201" s="43" t="str">
        <x:v>BS_CURRENT_PORTION_NONCURRENT_ASSETS_FINANCE</x:v>
      </x:c>
      <x:c r="B201" s="43" t="str">
        <x:v>H3B_ATTEMPT005</x:v>
      </x:c>
      <x:c r="C201" s="43" t="str">
        <x:v>BASE</x:v>
      </x:c>
      <x:c r="D201" s="43" t="str">
        <x:v>RMB_MILLION</x:v>
      </x:c>
      <x:c r="E201" s="43" t="n">
        <x:v>315.10819096</x:v>
      </x:c>
      <x:c r="F201" s="43" t="n">
        <x:v>2028</x:v>
      </x:c>
      <x:c r="G201" s="39"/>
      <x:c r="H201" s="39"/>
    </x:row>
    <x:row r="202">
      <x:c r="A202" s="43" t="str">
        <x:v>BS_CURRENT_PORTION_NONCURRENT_ASSETS_TREASURY</x:v>
      </x:c>
      <x:c r="B202" s="43" t="str">
        <x:v>H3B_ATTEMPT005</x:v>
      </x:c>
      <x:c r="C202" s="43" t="str">
        <x:v>BASE</x:v>
      </x:c>
      <x:c r="D202" s="43" t="str">
        <x:v>RMB_MILLION</x:v>
      </x:c>
      <x:c r="E202" s="43" t="n">
        <x:v>155362.528</x:v>
      </x:c>
      <x:c r="F202" s="43" t="n">
        <x:v>2028</x:v>
      </x:c>
      <x:c r="G202" s="39"/>
      <x:c r="H202" s="39"/>
    </x:row>
    <x:row r="203">
      <x:c r="A203" s="43" t="str">
        <x:v>BS_CUSTOMER_DEPOSITS</x:v>
      </x:c>
      <x:c r="B203" s="43" t="str">
        <x:v>H3B_ATTEMPT005</x:v>
      </x:c>
      <x:c r="C203" s="43" t="str">
        <x:v>BASE</x:v>
      </x:c>
      <x:c r="D203" s="43" t="str">
        <x:v>RMB_MILLION</x:v>
      </x:c>
      <x:c r="E203" s="43" t="n">
        <x:v>165.28596876</x:v>
      </x:c>
      <x:c r="F203" s="43" t="n">
        <x:v>2028</x:v>
      </x:c>
      <x:c r="G203" s="39"/>
      <x:c r="H203" s="39"/>
    </x:row>
    <x:row r="204">
      <x:c r="A204" s="43" t="str">
        <x:v>BS_DERIVATIVE_FINANCIAL_ASSETS</x:v>
      </x:c>
      <x:c r="B204" s="43" t="str">
        <x:v>H3B_ATTEMPT005</x:v>
      </x:c>
      <x:c r="C204" s="43" t="str">
        <x:v>BASE</x:v>
      </x:c>
      <x:c r="D204" s="43" t="str">
        <x:v>RMB_MILLION</x:v>
      </x:c>
      <x:c r="E204" s="43" t="n">
        <x:v>2739.9671092</x:v>
      </x:c>
      <x:c r="F204" s="43" t="n">
        <x:v>2028</x:v>
      </x:c>
      <x:c r="G204" s="39"/>
      <x:c r="H204" s="39"/>
    </x:row>
    <x:row r="205">
      <x:c r="A205" s="43" t="str">
        <x:v>BS_DERIVATIVE_LIABILITIES</x:v>
      </x:c>
      <x:c r="B205" s="43" t="str">
        <x:v>H3B_ATTEMPT005</x:v>
      </x:c>
      <x:c r="C205" s="43" t="str">
        <x:v>BASE</x:v>
      </x:c>
      <x:c r="D205" s="43" t="str">
        <x:v>RMB_MILLION</x:v>
      </x:c>
      <x:c r="E205" s="43" t="n">
        <x:v>1048.77773982</x:v>
      </x:c>
      <x:c r="F205" s="43" t="n">
        <x:v>2028</x:v>
      </x:c>
      <x:c r="G205" s="39"/>
      <x:c r="H205" s="39"/>
    </x:row>
    <x:row r="206">
      <x:c r="A206" s="43" t="str">
        <x:v>BS_EMPLOYEE_COMP</x:v>
      </x:c>
      <x:c r="B206" s="43" t="str">
        <x:v>H3B_ATTEMPT005</x:v>
      </x:c>
      <x:c r="C206" s="43" t="str">
        <x:v>BASE</x:v>
      </x:c>
      <x:c r="D206" s="43" t="str">
        <x:v>RMB_MILLION</x:v>
      </x:c>
      <x:c r="E206" s="43" t="n">
        <x:v>11887.67967276</x:v>
      </x:c>
      <x:c r="F206" s="43" t="n">
        <x:v>2028</x:v>
      </x:c>
      <x:c r="G206" s="39"/>
      <x:c r="H206" s="39"/>
    </x:row>
    <x:row r="207">
      <x:c r="A207" s="43" t="str">
        <x:v>BS_GOODWILL</x:v>
      </x:c>
      <x:c r="B207" s="43" t="str">
        <x:v>H3B_ATTEMPT005</x:v>
      </x:c>
      <x:c r="C207" s="43" t="str">
        <x:v>BASE</x:v>
      </x:c>
      <x:c r="D207" s="43" t="str">
        <x:v>RMB_MILLION</x:v>
      </x:c>
      <x:c r="E207" s="43" t="n">
        <x:v>42220.40210556</x:v>
      </x:c>
      <x:c r="F207" s="43" t="n">
        <x:v>2028</x:v>
      </x:c>
      <x:c r="G207" s="39"/>
      <x:c r="H207" s="39"/>
    </x:row>
    <x:row r="208">
      <x:c r="A208" s="43" t="str">
        <x:v>BS_INCOME_TAX_PAYABLE</x:v>
      </x:c>
      <x:c r="B208" s="43" t="str">
        <x:v>H3B_ATTEMPT005</x:v>
      </x:c>
      <x:c r="C208" s="43" t="str">
        <x:v>BASE</x:v>
      </x:c>
      <x:c r="D208" s="43" t="str">
        <x:v>RMB_MILLION</x:v>
      </x:c>
      <x:c r="E208" s="43" t="n">
        <x:v>5527.88082971</x:v>
      </x:c>
      <x:c r="F208" s="43" t="n">
        <x:v>2028</x:v>
      </x:c>
      <x:c r="G208" s="39"/>
      <x:c r="H208" s="39"/>
    </x:row>
    <x:row r="209">
      <x:c r="A209" s="43" t="str">
        <x:v>BS_INTANGIBLES</x:v>
      </x:c>
      <x:c r="B209" s="43" t="str">
        <x:v>H3B_ATTEMPT005</x:v>
      </x:c>
      <x:c r="C209" s="43" t="str">
        <x:v>BASE</x:v>
      </x:c>
      <x:c r="D209" s="43" t="str">
        <x:v>RMB_MILLION</x:v>
      </x:c>
      <x:c r="E209" s="43" t="n">
        <x:v>27749.70615914</x:v>
      </x:c>
      <x:c r="F209" s="43" t="n">
        <x:v>2028</x:v>
      </x:c>
      <x:c r="G209" s="39"/>
      <x:c r="H209" s="39"/>
    </x:row>
    <x:row r="210">
      <x:c r="A210" s="43" t="str">
        <x:v>BS_INVENTORY</x:v>
      </x:c>
      <x:c r="B210" s="43" t="str">
        <x:v>H3B_ATTEMPT005</x:v>
      </x:c>
      <x:c r="C210" s="43" t="str">
        <x:v>BASE</x:v>
      </x:c>
      <x:c r="D210" s="43" t="str">
        <x:v>RMB_MILLION</x:v>
      </x:c>
      <x:c r="E210" s="43" t="n">
        <x:v>70639.52064605</x:v>
      </x:c>
      <x:c r="F210" s="43" t="n">
        <x:v>2028</x:v>
      </x:c>
      <x:c r="G210" s="39"/>
      <x:c r="H210" s="39"/>
    </x:row>
    <x:row r="211">
      <x:c r="A211" s="43" t="str">
        <x:v>BS_LOANS_ADVANCES_CURRENT</x:v>
      </x:c>
      <x:c r="B211" s="43" t="str">
        <x:v>H3B_ATTEMPT005</x:v>
      </x:c>
      <x:c r="C211" s="43" t="str">
        <x:v>BASE</x:v>
      </x:c>
      <x:c r="D211" s="43" t="str">
        <x:v>RMB_MILLION</x:v>
      </x:c>
      <x:c r="E211" s="43" t="n">
        <x:v>14517.48037462</x:v>
      </x:c>
      <x:c r="F211" s="43" t="n">
        <x:v>2028</x:v>
      </x:c>
      <x:c r="G211" s="39"/>
      <x:c r="H211" s="39"/>
    </x:row>
    <x:row r="212">
      <x:c r="A212" s="43" t="str">
        <x:v>BS_LONG_TERM_BORROWINGS</x:v>
      </x:c>
      <x:c r="B212" s="43" t="str">
        <x:v>H3B_ATTEMPT005</x:v>
      </x:c>
      <x:c r="C212" s="43" t="str">
        <x:v>BASE</x:v>
      </x:c>
      <x:c r="D212" s="43" t="str">
        <x:v>RMB_MILLION</x:v>
      </x:c>
      <x:c r="E212" s="43" t="n">
        <x:v>23200.09882529</x:v>
      </x:c>
      <x:c r="F212" s="43" t="n">
        <x:v>2028</x:v>
      </x:c>
      <x:c r="G212" s="39"/>
      <x:c r="H212" s="39"/>
    </x:row>
    <x:row r="213">
      <x:c r="A213" s="43" t="str">
        <x:v>BS_LONG_TERM_INVESTMENTS</x:v>
      </x:c>
      <x:c r="B213" s="43" t="str">
        <x:v>H3B_ATTEMPT005</x:v>
      </x:c>
      <x:c r="C213" s="43" t="str">
        <x:v>BASE</x:v>
      </x:c>
      <x:c r="D213" s="43" t="str">
        <x:v>RMB_MILLION</x:v>
      </x:c>
      <x:c r="E213" s="43" t="n">
        <x:v>5885.07772273</x:v>
      </x:c>
      <x:c r="F213" s="43" t="n">
        <x:v>2028</x:v>
      </x:c>
      <x:c r="G213" s="39"/>
      <x:c r="H213" s="39"/>
    </x:row>
    <x:row r="214">
      <x:c r="A214" s="43" t="str">
        <x:v>BS_NCI</x:v>
      </x:c>
      <x:c r="B214" s="43" t="str">
        <x:v>H3B_ATTEMPT005</x:v>
      </x:c>
      <x:c r="C214" s="43" t="str">
        <x:v>BASE</x:v>
      </x:c>
      <x:c r="D214" s="43" t="str">
        <x:v>RMB_MILLION</x:v>
      </x:c>
      <x:c r="E214" s="43" t="n">
        <x:v>14988.12387041</x:v>
      </x:c>
      <x:c r="F214" s="43" t="n">
        <x:v>2028</x:v>
      </x:c>
      <x:c r="G214" s="39"/>
      <x:c r="H214" s="39"/>
    </x:row>
    <x:row r="215">
      <x:c r="A215" s="43" t="str">
        <x:v>BS_NOTES_PAYABLE</x:v>
      </x:c>
      <x:c r="B215" s="43" t="str">
        <x:v>H3B_ATTEMPT005</x:v>
      </x:c>
      <x:c r="C215" s="43" t="str">
        <x:v>BASE</x:v>
      </x:c>
      <x:c r="D215" s="43" t="str">
        <x:v>RMB_MILLION</x:v>
      </x:c>
      <x:c r="E215" s="43" t="n">
        <x:v>33426.7867839</x:v>
      </x:c>
      <x:c r="F215" s="43" t="n">
        <x:v>2028</x:v>
      </x:c>
      <x:c r="G215" s="39"/>
      <x:c r="H215" s="39"/>
    </x:row>
    <x:row r="216">
      <x:c r="A216" s="43" t="str">
        <x:v>BS_NOTES_RECEIVABLE</x:v>
      </x:c>
      <x:c r="B216" s="43" t="str">
        <x:v>H3B_ATTEMPT005</x:v>
      </x:c>
      <x:c r="C216" s="43" t="str">
        <x:v>BASE</x:v>
      </x:c>
      <x:c r="D216" s="43" t="str">
        <x:v>RMB_MILLION</x:v>
      </x:c>
      <x:c r="E216" s="43" t="n">
        <x:v>6466.45518822</x:v>
      </x:c>
      <x:c r="F216" s="43" t="n">
        <x:v>2028</x:v>
      </x:c>
      <x:c r="G216" s="39"/>
      <x:c r="H216" s="39"/>
    </x:row>
    <x:row r="217">
      <x:c r="A217" s="43" t="str">
        <x:v>BS_OTHER_CURRENT_ASSETS</x:v>
      </x:c>
      <x:c r="B217" s="43" t="str">
        <x:v>H3B_ATTEMPT005</x:v>
      </x:c>
      <x:c r="C217" s="43" t="str">
        <x:v>BASE</x:v>
      </x:c>
      <x:c r="D217" s="43" t="str">
        <x:v>RMB_MILLION</x:v>
      </x:c>
      <x:c r="E217" s="43" t="n">
        <x:v>30943.87420035</x:v>
      </x:c>
      <x:c r="F217" s="43" t="n">
        <x:v>2028</x:v>
      </x:c>
      <x:c r="G217" s="39"/>
      <x:c r="H217" s="39"/>
    </x:row>
    <x:row r="218">
      <x:c r="A218" s="43" t="str">
        <x:v>BS_OTHER_CURRENT_ASSETS_HEDGE</x:v>
      </x:c>
      <x:c r="B218" s="43" t="str">
        <x:v>H3B_ATTEMPT005</x:v>
      </x:c>
      <x:c r="C218" s="43" t="str">
        <x:v>BASE</x:v>
      </x:c>
      <x:c r="D218" s="43" t="str">
        <x:v>RMB_MILLION</x:v>
      </x:c>
      <x:c r="E218" s="43" t="n">
        <x:v>3945.60937997</x:v>
      </x:c>
      <x:c r="F218" s="43" t="n">
        <x:v>2028</x:v>
      </x:c>
      <x:c r="G218" s="39"/>
      <x:c r="H218" s="39"/>
    </x:row>
    <x:row r="219">
      <x:c r="A219" s="43" t="str">
        <x:v>BS_OTHER_CURRENT_ASSETS_OPERATING</x:v>
      </x:c>
      <x:c r="B219" s="43" t="str">
        <x:v>H3B_ATTEMPT005</x:v>
      </x:c>
      <x:c r="C219" s="43" t="str">
        <x:v>BASE</x:v>
      </x:c>
      <x:c r="D219" s="43" t="str">
        <x:v>RMB_MILLION</x:v>
      </x:c>
      <x:c r="E219" s="43" t="n">
        <x:v>25571.13082038</x:v>
      </x:c>
      <x:c r="F219" s="43" t="n">
        <x:v>2028</x:v>
      </x:c>
      <x:c r="G219" s="39"/>
      <x:c r="H219" s="39"/>
    </x:row>
    <x:row r="220">
      <x:c r="A220" s="43" t="str">
        <x:v>BS_OTHER_CURRENT_ASSETS_TREASURY</x:v>
      </x:c>
      <x:c r="B220" s="43" t="str">
        <x:v>H3B_ATTEMPT005</x:v>
      </x:c>
      <x:c r="C220" s="43" t="str">
        <x:v>BASE</x:v>
      </x:c>
      <x:c r="D220" s="43" t="str">
        <x:v>RMB_MILLION</x:v>
      </x:c>
      <x:c r="E220" s="43" t="n">
        <x:v>1427.134</x:v>
      </x:c>
      <x:c r="F220" s="43" t="n">
        <x:v>2028</x:v>
      </x:c>
      <x:c r="G220" s="39"/>
      <x:c r="H220" s="39"/>
    </x:row>
    <x:row r="221">
      <x:c r="A221" s="43" t="str">
        <x:v>BS_OTHER_CURRENT_LIABILITIES</x:v>
      </x:c>
      <x:c r="B221" s="43" t="str">
        <x:v>H3B_ATTEMPT005</x:v>
      </x:c>
      <x:c r="C221" s="43" t="str">
        <x:v>BASE</x:v>
      </x:c>
      <x:c r="D221" s="43" t="str">
        <x:v>RMB_MILLION</x:v>
      </x:c>
      <x:c r="E221" s="43" t="n">
        <x:v>114049.19055744</x:v>
      </x:c>
      <x:c r="F221" s="43" t="n">
        <x:v>2028</x:v>
      </x:c>
      <x:c r="G221" s="39"/>
      <x:c r="H221" s="39"/>
    </x:row>
    <x:row r="222">
      <x:c r="A222" s="43" t="str">
        <x:v>BS_OTHER_CURRENT_LIABILITIES_HEDGE</x:v>
      </x:c>
      <x:c r="B222" s="43" t="str">
        <x:v>H3B_ATTEMPT005</x:v>
      </x:c>
      <x:c r="C222" s="43" t="str">
        <x:v>BASE</x:v>
      </x:c>
      <x:c r="D222" s="43" t="str">
        <x:v>RMB_MILLION</x:v>
      </x:c>
      <x:c r="E222" s="43" t="n">
        <x:v>26.47336223</x:v>
      </x:c>
      <x:c r="F222" s="43" t="n">
        <x:v>2028</x:v>
      </x:c>
      <x:c r="G222" s="39"/>
      <x:c r="H222" s="39"/>
    </x:row>
    <x:row r="223">
      <x:c r="A223" s="43" t="str">
        <x:v>BS_OTHER_CURRENT_LIABILITIES_OPERATING</x:v>
      </x:c>
      <x:c r="B223" s="43" t="str">
        <x:v>H3B_ATTEMPT005</x:v>
      </x:c>
      <x:c r="C223" s="43" t="str">
        <x:v>BASE</x:v>
      </x:c>
      <x:c r="D223" s="43" t="str">
        <x:v>RMB_MILLION</x:v>
      </x:c>
      <x:c r="E223" s="43" t="n">
        <x:v>114022.71719521</x:v>
      </x:c>
      <x:c r="F223" s="43" t="n">
        <x:v>2028</x:v>
      </x:c>
      <x:c r="G223" s="39"/>
      <x:c r="H223" s="39"/>
    </x:row>
    <x:row r="224">
      <x:c r="A224" s="43" t="str">
        <x:v>BS_OTHER_NONCURRENT_FINANCIAL_ASSETS</x:v>
      </x:c>
      <x:c r="B224" s="43" t="str">
        <x:v>H3B_ATTEMPT005</x:v>
      </x:c>
      <x:c r="C224" s="43" t="str">
        <x:v>BASE</x:v>
      </x:c>
      <x:c r="D224" s="43" t="str">
        <x:v>RMB_MILLION</x:v>
      </x:c>
      <x:c r="E224" s="43" t="n">
        <x:v>5898.69030587</x:v>
      </x:c>
      <x:c r="F224" s="43" t="n">
        <x:v>2028</x:v>
      </x:c>
      <x:c r="G224" s="39"/>
      <x:c r="H224" s="39"/>
    </x:row>
    <x:row r="225">
      <x:c r="A225" s="43" t="str">
        <x:v>BS_OTHER_PAYABLES</x:v>
      </x:c>
      <x:c r="B225" s="43" t="str">
        <x:v>H3B_ATTEMPT005</x:v>
      </x:c>
      <x:c r="C225" s="43" t="str">
        <x:v>BASE</x:v>
      </x:c>
      <x:c r="D225" s="43" t="str">
        <x:v>RMB_MILLION</x:v>
      </x:c>
      <x:c r="E225" s="43" t="n">
        <x:v>5944.76849925</x:v>
      </x:c>
      <x:c r="F225" s="43" t="n">
        <x:v>2028</x:v>
      </x:c>
      <x:c r="G225" s="39"/>
      <x:c r="H225" s="39"/>
    </x:row>
    <x:row r="226">
      <x:c r="A226" s="43" t="str">
        <x:v>BS_OTHER_RECEIVABLES</x:v>
      </x:c>
      <x:c r="B226" s="43" t="str">
        <x:v>H3B_ATTEMPT005</x:v>
      </x:c>
      <x:c r="C226" s="43" t="str">
        <x:v>BASE</x:v>
      </x:c>
      <x:c r="D226" s="43" t="str">
        <x:v>RMB_MILLION</x:v>
      </x:c>
      <x:c r="E226" s="43" t="n">
        <x:v>3932.29382105</x:v>
      </x:c>
      <x:c r="F226" s="43" t="n">
        <x:v>2028</x:v>
      </x:c>
      <x:c r="G226" s="39"/>
      <x:c r="H226" s="39"/>
    </x:row>
    <x:row r="227">
      <x:c r="A227" s="43" t="str">
        <x:v>BS_OTHER_RESERVES</x:v>
      </x:c>
      <x:c r="B227" s="43" t="str">
        <x:v>H3B_ATTEMPT005</x:v>
      </x:c>
      <x:c r="C227" s="43" t="str">
        <x:v>BASE</x:v>
      </x:c>
      <x:c r="D227" s="43" t="str">
        <x:v>RMB_MILLION</x:v>
      </x:c>
      <x:c r="E227" s="43" t="n">
        <x:v>11196.537</x:v>
      </x:c>
      <x:c r="F227" s="43" t="n">
        <x:v>2028</x:v>
      </x:c>
      <x:c r="G227" s="39"/>
      <x:c r="H227" s="39"/>
    </x:row>
    <x:row r="228">
      <x:c r="A228" s="43" t="str">
        <x:v>BS_OTHER_TAXES_PAYABLE</x:v>
      </x:c>
      <x:c r="B228" s="43" t="str">
        <x:v>H3B_ATTEMPT005</x:v>
      </x:c>
      <x:c r="C228" s="43" t="str">
        <x:v>BASE</x:v>
      </x:c>
      <x:c r="D228" s="43" t="str">
        <x:v>RMB_MILLION</x:v>
      </x:c>
      <x:c r="E228" s="43" t="n">
        <x:v>3301.61772944</x:v>
      </x:c>
      <x:c r="F228" s="43" t="n">
        <x:v>2028</x:v>
      </x:c>
      <x:c r="G228" s="39"/>
      <x:c r="H228" s="39"/>
    </x:row>
    <x:row r="229">
      <x:c r="A229" s="43" t="str">
        <x:v>BS_PARENT_EQUITY</x:v>
      </x:c>
      <x:c r="B229" s="43" t="str">
        <x:v>H3B_ATTEMPT005</x:v>
      </x:c>
      <x:c r="C229" s="43" t="str">
        <x:v>BASE</x:v>
      </x:c>
      <x:c r="D229" s="43" t="str">
        <x:v>RMB_MILLION</x:v>
      </x:c>
      <x:c r="E229" s="43" t="n">
        <x:v>265052.86043858</x:v>
      </x:c>
      <x:c r="F229" s="43" t="n">
        <x:v>2028</x:v>
      </x:c>
      <x:c r="G229" s="39"/>
      <x:c r="H229" s="39"/>
    </x:row>
    <x:row r="230">
      <x:c r="A230" s="43" t="str">
        <x:v>BS_PPE</x:v>
      </x:c>
      <x:c r="B230" s="43" t="str">
        <x:v>H3B_ATTEMPT005</x:v>
      </x:c>
      <x:c r="C230" s="43" t="str">
        <x:v>BASE</x:v>
      </x:c>
      <x:c r="D230" s="43" t="str">
        <x:v>RMB_MILLION</x:v>
      </x:c>
      <x:c r="E230" s="43" t="n">
        <x:v>48846.30130108</x:v>
      </x:c>
      <x:c r="F230" s="43" t="n">
        <x:v>2028</x:v>
      </x:c>
      <x:c r="G230" s="39"/>
      <x:c r="H230" s="39"/>
    </x:row>
    <x:row r="231">
      <x:c r="A231" s="43" t="str">
        <x:v>BS_PREPAYMENTS</x:v>
      </x:c>
      <x:c r="B231" s="43" t="str">
        <x:v>H3B_ATTEMPT005</x:v>
      </x:c>
      <x:c r="C231" s="43" t="str">
        <x:v>BASE</x:v>
      </x:c>
      <x:c r="D231" s="43" t="str">
        <x:v>RMB_MILLION</x:v>
      </x:c>
      <x:c r="E231" s="43" t="n">
        <x:v>3681.73478621</x:v>
      </x:c>
      <x:c r="F231" s="43" t="n">
        <x:v>2028</x:v>
      </x:c>
      <x:c r="G231" s="39"/>
      <x:c r="H231" s="39"/>
    </x:row>
    <x:row r="232">
      <x:c r="A232" s="43" t="str">
        <x:v>BS_RECEIVABLES_FINANCING</x:v>
      </x:c>
      <x:c r="B232" s="43" t="str">
        <x:v>H3B_ATTEMPT005</x:v>
      </x:c>
      <x:c r="C232" s="43" t="str">
        <x:v>BASE</x:v>
      </x:c>
      <x:c r="D232" s="43" t="str">
        <x:v>RMB_MILLION</x:v>
      </x:c>
      <x:c r="E232" s="43" t="n">
        <x:v>18407.2984994</x:v>
      </x:c>
      <x:c r="F232" s="43" t="n">
        <x:v>2028</x:v>
      </x:c>
      <x:c r="G232" s="39"/>
      <x:c r="H232" s="39"/>
    </x:row>
    <x:row r="233">
      <x:c r="A233" s="43" t="str">
        <x:v>BS_RESTRICTED_CASH</x:v>
      </x:c>
      <x:c r="B233" s="43" t="str">
        <x:v>H3B_ATTEMPT005</x:v>
      </x:c>
      <x:c r="C233" s="43" t="str">
        <x:v>BASE</x:v>
      </x:c>
      <x:c r="D233" s="43" t="str">
        <x:v>RMB_MILLION</x:v>
      </x:c>
      <x:c r="E233" s="43" t="n">
        <x:v>5811.74724883</x:v>
      </x:c>
      <x:c r="F233" s="43" t="n">
        <x:v>2028</x:v>
      </x:c>
      <x:c r="G233" s="39"/>
      <x:c r="H233" s="39"/>
    </x:row>
    <x:row r="234">
      <x:c r="A234" s="43" t="str">
        <x:v>BS_RETAINED_EARNINGS</x:v>
      </x:c>
      <x:c r="B234" s="43" t="str">
        <x:v>H3B_ATTEMPT005</x:v>
      </x:c>
      <x:c r="C234" s="43" t="str">
        <x:v>BASE</x:v>
      </x:c>
      <x:c r="D234" s="43" t="str">
        <x:v>RMB_MILLION</x:v>
      </x:c>
      <x:c r="E234" s="43" t="n">
        <x:v>209059.57543858</x:v>
      </x:c>
      <x:c r="F234" s="43" t="n">
        <x:v>2028</x:v>
      </x:c>
      <x:c r="G234" s="39"/>
      <x:c r="H234" s="39"/>
    </x:row>
    <x:row r="235">
      <x:c r="A235" s="43" t="str">
        <x:v>BS_SHARE_CAPITAL</x:v>
      </x:c>
      <x:c r="B235" s="43" t="str">
        <x:v>H3B_ATTEMPT005</x:v>
      </x:c>
      <x:c r="C235" s="43" t="str">
        <x:v>BASE</x:v>
      </x:c>
      <x:c r="D235" s="43" t="str">
        <x:v>RMB_MILLION</x:v>
      </x:c>
      <x:c r="E235" s="43" t="n">
        <x:v>7597.145</x:v>
      </x:c>
      <x:c r="F235" s="43" t="n">
        <x:v>2028</x:v>
      </x:c>
      <x:c r="G235" s="39"/>
      <x:c r="H235" s="39"/>
    </x:row>
    <x:row r="236">
      <x:c r="A236" s="43" t="str">
        <x:v>BS_SHORT_TERM_BORROWING</x:v>
      </x:c>
      <x:c r="B236" s="43" t="str">
        <x:v>H3B_ATTEMPT005</x:v>
      </x:c>
      <x:c r="C236" s="43" t="str">
        <x:v>BASE</x:v>
      </x:c>
      <x:c r="D236" s="43" t="str">
        <x:v>RMB_MILLION</x:v>
      </x:c>
      <x:c r="E236" s="43" t="n">
        <x:v>54110.84989618</x:v>
      </x:c>
      <x:c r="F236" s="43" t="n">
        <x:v>2028</x:v>
      </x:c>
      <x:c r="G236" s="39"/>
      <x:c r="H236" s="39"/>
    </x:row>
    <x:row r="237">
      <x:c r="A237" s="43" t="str">
        <x:v>BS_TAXES_PAYABLE</x:v>
      </x:c>
      <x:c r="B237" s="43" t="str">
        <x:v>H3B_ATTEMPT005</x:v>
      </x:c>
      <x:c r="C237" s="43" t="str">
        <x:v>BASE</x:v>
      </x:c>
      <x:c r="D237" s="43" t="str">
        <x:v>RMB_MILLION</x:v>
      </x:c>
      <x:c r="E237" s="43" t="n">
        <x:v>8829.49855915</x:v>
      </x:c>
      <x:c r="F237" s="43" t="n">
        <x:v>2028</x:v>
      </x:c>
      <x:c r="G237" s="39"/>
      <x:c r="H237" s="39"/>
    </x:row>
    <x:row r="238">
      <x:c r="A238" s="43" t="str">
        <x:v>BS_TERM_DEPOSITS</x:v>
      </x:c>
      <x:c r="B238" s="43" t="str">
        <x:v>H3B_ATTEMPT005</x:v>
      </x:c>
      <x:c r="C238" s="43" t="str">
        <x:v>BASE</x:v>
      </x:c>
      <x:c r="D238" s="43" t="str">
        <x:v>RMB_MILLION</x:v>
      </x:c>
      <x:c r="E238" s="43" t="n">
        <x:v>14718.85910003</x:v>
      </x:c>
      <x:c r="F238" s="43" t="n">
        <x:v>2028</x:v>
      </x:c>
      <x:c r="G238" s="39"/>
      <x:c r="H238" s="39"/>
    </x:row>
    <x:row r="239">
      <x:c r="A239" s="43" t="str">
        <x:v>BS_TOTAL_ASSETS</x:v>
      </x:c>
      <x:c r="B239" s="43" t="str">
        <x:v>H3B_ATTEMPT005</x:v>
      </x:c>
      <x:c r="C239" s="43" t="str">
        <x:v>BASE</x:v>
      </x:c>
      <x:c r="D239" s="43" t="str">
        <x:v>RMB_MILLION</x:v>
      </x:c>
      <x:c r="E239" s="43" t="n">
        <x:v>720637.92671386</x:v>
      </x:c>
      <x:c r="F239" s="43" t="n">
        <x:v>2028</x:v>
      </x:c>
      <x:c r="G239" s="39"/>
      <x:c r="H239" s="39"/>
    </x:row>
    <x:row r="240">
      <x:c r="A240" s="43" t="str">
        <x:v>BS_TOTAL_CURRENT_ASSETS</x:v>
      </x:c>
      <x:c r="B240" s="43" t="str">
        <x:v>H3B_ATTEMPT005</x:v>
      </x:c>
      <x:c r="C240" s="43" t="str">
        <x:v>BASE</x:v>
      </x:c>
      <x:c r="D240" s="43" t="str">
        <x:v>RMB_MILLION</x:v>
      </x:c>
      <x:c r="E240" s="43" t="n">
        <x:v>486596.09322269</x:v>
      </x:c>
      <x:c r="F240" s="43" t="n">
        <x:v>2028</x:v>
      </x:c>
      <x:c r="G240" s="39"/>
      <x:c r="H240" s="39"/>
    </x:row>
    <x:row r="241">
      <x:c r="A241" s="43" t="str">
        <x:v>BS_TOTAL_CURRENT_ASSETS_OTHER_IMMATERIAL_COMPONENTS</x:v>
      </x:c>
      <x:c r="B241" s="43" t="str">
        <x:v>H3B_ATTEMPT005</x:v>
      </x:c>
      <x:c r="C241" s="43" t="str">
        <x:v>BASE</x:v>
      </x:c>
      <x:c r="D241" s="43" t="str">
        <x:v>RMB_MILLION</x:v>
      </x:c>
      <x:c r="E241" s="43" t="n">
        <x:v>0</x:v>
      </x:c>
      <x:c r="F241" s="43" t="n">
        <x:v>2028</x:v>
      </x:c>
      <x:c r="G241" s="39"/>
      <x:c r="H241" s="39"/>
    </x:row>
    <x:row r="242">
      <x:c r="A242" s="43" t="str">
        <x:v>BS_TOTAL_CURRENT_LIABILITIES</x:v>
      </x:c>
      <x:c r="B242" s="43" t="str">
        <x:v>H3B_ATTEMPT005</x:v>
      </x:c>
      <x:c r="C242" s="43" t="str">
        <x:v>BASE</x:v>
      </x:c>
      <x:c r="D242" s="43" t="str">
        <x:v>RMB_MILLION</x:v>
      </x:c>
      <x:c r="E242" s="43" t="n">
        <x:v>397276.84179035</x:v>
      </x:c>
      <x:c r="F242" s="43" t="n">
        <x:v>2028</x:v>
      </x:c>
      <x:c r="G242" s="39"/>
      <x:c r="H242" s="39"/>
    </x:row>
    <x:row r="243">
      <x:c r="A243" s="43" t="str">
        <x:v>BS_TOTAL_CURRENT_LIABILITIES_OTHER_IMMATERIAL_COMPONENTS</x:v>
      </x:c>
      <x:c r="B243" s="43" t="str">
        <x:v>H3B_ATTEMPT005</x:v>
      </x:c>
      <x:c r="C243" s="43" t="str">
        <x:v>BASE</x:v>
      </x:c>
      <x:c r="D243" s="43" t="str">
        <x:v>RMB_MILLION</x:v>
      </x:c>
      <x:c r="E243" s="43" t="n">
        <x:v>0</x:v>
      </x:c>
      <x:c r="F243" s="43" t="n">
        <x:v>2028</x:v>
      </x:c>
      <x:c r="G243" s="39"/>
      <x:c r="H243" s="39"/>
    </x:row>
    <x:row r="244">
      <x:c r="A244" s="43" t="str">
        <x:v>BS_TOTAL_EQUITY</x:v>
      </x:c>
      <x:c r="B244" s="43" t="str">
        <x:v>H3B_ATTEMPT005</x:v>
      </x:c>
      <x:c r="C244" s="43" t="str">
        <x:v>BASE</x:v>
      </x:c>
      <x:c r="D244" s="43" t="str">
        <x:v>RMB_MILLION</x:v>
      </x:c>
      <x:c r="E244" s="43" t="n">
        <x:v>280040.98430899</x:v>
      </x:c>
      <x:c r="F244" s="43" t="n">
        <x:v>2028</x:v>
      </x:c>
      <x:c r="G244" s="39"/>
      <x:c r="H244" s="39"/>
    </x:row>
    <x:row r="245">
      <x:c r="A245" s="43" t="str">
        <x:v>BS_TOTAL_LIABILITIES</x:v>
      </x:c>
      <x:c r="B245" s="43" t="str">
        <x:v>H3B_ATTEMPT005</x:v>
      </x:c>
      <x:c r="C245" s="43" t="str">
        <x:v>BASE</x:v>
      </x:c>
      <x:c r="D245" s="43" t="str">
        <x:v>RMB_MILLION</x:v>
      </x:c>
      <x:c r="E245" s="43" t="n">
        <x:v>440596.94240487</x:v>
      </x:c>
      <x:c r="F245" s="43" t="n">
        <x:v>2028</x:v>
      </x:c>
      <x:c r="G245" s="39"/>
      <x:c r="H245" s="39"/>
    </x:row>
    <x:row r="246">
      <x:c r="A246" s="43" t="str">
        <x:v>BS_TOTAL_NONCURRENT_ASSETS</x:v>
      </x:c>
      <x:c r="B246" s="43" t="str">
        <x:v>H3B_ATTEMPT005</x:v>
      </x:c>
      <x:c r="C246" s="43" t="str">
        <x:v>BASE</x:v>
      </x:c>
      <x:c r="D246" s="43" t="str">
        <x:v>RMB_MILLION</x:v>
      </x:c>
      <x:c r="E246" s="43" t="n">
        <x:v>234041.83349117</x:v>
      </x:c>
      <x:c r="F246" s="43" t="n">
        <x:v>2028</x:v>
      </x:c>
      <x:c r="G246" s="39"/>
      <x:c r="H246" s="39"/>
    </x:row>
    <x:row r="247">
      <x:c r="A247" s="43" t="str">
        <x:v>BS_TOTAL_NONCURRENT_ASSETS_OTHER_IMMATERIAL_COMPONENTS</x:v>
      </x:c>
      <x:c r="B247" s="43" t="str">
        <x:v>H3B_ATTEMPT005</x:v>
      </x:c>
      <x:c r="C247" s="43" t="str">
        <x:v>BASE</x:v>
      </x:c>
      <x:c r="D247" s="43" t="str">
        <x:v>RMB_MILLION</x:v>
      </x:c>
      <x:c r="E247" s="43" t="n">
        <x:v>96938.78608578</x:v>
      </x:c>
      <x:c r="F247" s="43" t="n">
        <x:v>2028</x:v>
      </x:c>
      <x:c r="G247" s="39"/>
      <x:c r="H247" s="39"/>
    </x:row>
    <x:row r="248">
      <x:c r="A248" s="43" t="str">
        <x:v>BS_TOTAL_NONCURRENT_LIABILITIES</x:v>
      </x:c>
      <x:c r="B248" s="43" t="str">
        <x:v>H3B_ATTEMPT005</x:v>
      </x:c>
      <x:c r="C248" s="43" t="str">
        <x:v>BASE</x:v>
      </x:c>
      <x:c r="D248" s="43" t="str">
        <x:v>RMB_MILLION</x:v>
      </x:c>
      <x:c r="E248" s="43" t="n">
        <x:v>43320.10061452</x:v>
      </x:c>
      <x:c r="F248" s="43" t="n">
        <x:v>2028</x:v>
      </x:c>
      <x:c r="G248" s="39"/>
      <x:c r="H248" s="39"/>
    </x:row>
    <x:row r="249">
      <x:c r="A249" s="43" t="str">
        <x:v>BS_TOTAL_NONCURRENT_LIABILITIES_OTHER_IMMATERIAL_COMPONENTS</x:v>
      </x:c>
      <x:c r="B249" s="43" t="str">
        <x:v>H3B_ATTEMPT005</x:v>
      </x:c>
      <x:c r="C249" s="43" t="str">
        <x:v>BASE</x:v>
      </x:c>
      <x:c r="D249" s="43" t="str">
        <x:v>RMB_MILLION</x:v>
      </x:c>
      <x:c r="E249" s="43" t="n">
        <x:v>20120.00178923</x:v>
      </x:c>
      <x:c r="F249" s="43" t="n">
        <x:v>2028</x:v>
      </x:c>
      <x:c r="G249" s="39"/>
      <x:c r="H249" s="39"/>
    </x:row>
    <x:row r="250">
      <x:c r="A250" s="43" t="str">
        <x:v>BS_TRADING_FINANCIAL_ASSETS</x:v>
      </x:c>
      <x:c r="B250" s="43" t="str">
        <x:v>H3B_ATTEMPT005</x:v>
      </x:c>
      <x:c r="C250" s="43" t="str">
        <x:v>BASE</x:v>
      </x:c>
      <x:c r="D250" s="43" t="str">
        <x:v>RMB_MILLION</x:v>
      </x:c>
      <x:c r="E250" s="43" t="n">
        <x:v>875.93429168</x:v>
      </x:c>
      <x:c r="F250" s="43" t="n">
        <x:v>2028</x:v>
      </x:c>
      <x:c r="G250" s="39"/>
      <x:c r="H250" s="39"/>
    </x:row>
    <x:row r="251">
      <x:c r="A251" s="43" t="str">
        <x:v>BS_TRADING_FINANCIAL_LIABILITIES</x:v>
      </x:c>
      <x:c r="B251" s="43" t="str">
        <x:v>H3B_ATTEMPT005</x:v>
      </x:c>
      <x:c r="C251" s="43" t="str">
        <x:v>BASE</x:v>
      </x:c>
      <x:c r="D251" s="43" t="str">
        <x:v>RMB_MILLION</x:v>
      </x:c>
      <x:c r="E251" s="43" t="n">
        <x:v>870.66180361</x:v>
      </x:c>
      <x:c r="F251" s="43" t="n">
        <x:v>2028</x:v>
      </x:c>
      <x:c r="G251" s="39"/>
      <x:c r="H251" s="39"/>
    </x:row>
    <x:row r="252">
      <x:c r="A252" s="43" t="str">
        <x:v>BS_TREASURY_SHARES</x:v>
      </x:c>
      <x:c r="B252" s="43" t="str">
        <x:v>H3B_ATTEMPT005</x:v>
      </x:c>
      <x:c r="C252" s="43" t="str">
        <x:v>BASE</x:v>
      </x:c>
      <x:c r="D252" s="43" t="str">
        <x:v>RMB_MILLION</x:v>
      </x:c>
      <x:c r="E252" s="43" t="n">
        <x:v>-8151.117</x:v>
      </x:c>
      <x:c r="F252" s="43" t="n">
        <x:v>2028</x:v>
      </x:c>
      <x:c r="G252" s="39"/>
      <x:c r="H252" s="39"/>
    </x:row>
    <x:row r="253">
      <x:c r="A253" s="43" t="str">
        <x:v>BS_AP</x:v>
      </x:c>
      <x:c r="B253" s="43" t="str">
        <x:v>H3B_ATTEMPT005</x:v>
      </x:c>
      <x:c r="C253" s="43" t="str">
        <x:v>BASE</x:v>
      </x:c>
      <x:c r="D253" s="43" t="str">
        <x:v>RMB_MILLION</x:v>
      </x:c>
      <x:c r="E253" s="43" t="n">
        <x:v>118010.71653288</x:v>
      </x:c>
      <x:c r="F253" s="43" t="n">
        <x:v>2029</x:v>
      </x:c>
      <x:c r="G253" s="39"/>
      <x:c r="H253" s="39"/>
    </x:row>
    <x:row r="254">
      <x:c r="A254" s="43" t="str">
        <x:v>BS_AR</x:v>
      </x:c>
      <x:c r="B254" s="43" t="str">
        <x:v>H3B_ATTEMPT005</x:v>
      </x:c>
      <x:c r="C254" s="43" t="str">
        <x:v>BASE</x:v>
      </x:c>
      <x:c r="D254" s="43" t="str">
        <x:v>RMB_MILLION</x:v>
      </x:c>
      <x:c r="E254" s="43" t="n">
        <x:v>53044.66110561</x:v>
      </x:c>
      <x:c r="F254" s="43" t="n">
        <x:v>2029</x:v>
      </x:c>
      <x:c r="G254" s="39"/>
      <x:c r="H254" s="39"/>
    </x:row>
    <x:row r="255">
      <x:c r="A255" s="43" t="str">
        <x:v>BS_CAPITAL_RESERVE</x:v>
      </x:c>
      <x:c r="B255" s="43" t="str">
        <x:v>H3B_ATTEMPT005</x:v>
      </x:c>
      <x:c r="C255" s="43" t="str">
        <x:v>BASE</x:v>
      </x:c>
      <x:c r="D255" s="43" t="str">
        <x:v>RMB_MILLION</x:v>
      </x:c>
      <x:c r="E255" s="43" t="n">
        <x:v>45350.72</x:v>
      </x:c>
      <x:c r="F255" s="43" t="n">
        <x:v>2029</x:v>
      </x:c>
      <x:c r="G255" s="39"/>
      <x:c r="H255" s="39"/>
    </x:row>
    <x:row r="256">
      <x:c r="A256" s="43" t="str">
        <x:v>BS_CASH</x:v>
      </x:c>
      <x:c r="B256" s="43" t="str">
        <x:v>H3B_ATTEMPT005</x:v>
      </x:c>
      <x:c r="C256" s="43" t="str">
        <x:v>BASE</x:v>
      </x:c>
      <x:c r="D256" s="43" t="str">
        <x:v>RMB_MILLION</x:v>
      </x:c>
      <x:c r="E256" s="43" t="n">
        <x:v>140373.2818629</x:v>
      </x:c>
      <x:c r="F256" s="43" t="n">
        <x:v>2029</x:v>
      </x:c>
      <x:c r="G256" s="39"/>
      <x:c r="H256" s="39"/>
    </x:row>
    <x:row r="257">
      <x:c r="A257" s="43" t="str">
        <x:v>BS_CASH_TAXONOMY_OTHER</x:v>
      </x:c>
      <x:c r="B257" s="43" t="str">
        <x:v>H3B_ATTEMPT005</x:v>
      </x:c>
      <x:c r="C257" s="43" t="str">
        <x:v>BASE</x:v>
      </x:c>
      <x:c r="D257" s="43" t="str">
        <x:v>RMB_MILLION</x:v>
      </x:c>
      <x:c r="E257" s="43" t="n">
        <x:v>107.40210337</x:v>
      </x:c>
      <x:c r="F257" s="43" t="n">
        <x:v>2029</x:v>
      </x:c>
      <x:c r="G257" s="39"/>
      <x:c r="H257" s="39"/>
    </x:row>
    <x:row r="258">
      <x:c r="A258" s="43" t="str">
        <x:v>BS_CIP</x:v>
      </x:c>
      <x:c r="B258" s="43" t="str">
        <x:v>H3B_ATTEMPT005</x:v>
      </x:c>
      <x:c r="C258" s="43" t="str">
        <x:v>BASE</x:v>
      </x:c>
      <x:c r="D258" s="43" t="str">
        <x:v>RMB_MILLION</x:v>
      </x:c>
      <x:c r="E258" s="43" t="n">
        <x:v>7432.27444629</x:v>
      </x:c>
      <x:c r="F258" s="43" t="n">
        <x:v>2029</x:v>
      </x:c>
      <x:c r="G258" s="39"/>
      <x:c r="H258" s="39"/>
    </x:row>
    <x:row r="259">
      <x:c r="A259" s="43" t="str">
        <x:v>BS_CONTRACT_ASSETS</x:v>
      </x:c>
      <x:c r="B259" s="43" t="str">
        <x:v>H3B_ATTEMPT005</x:v>
      </x:c>
      <x:c r="C259" s="43" t="str">
        <x:v>BASE</x:v>
      </x:c>
      <x:c r="D259" s="43" t="str">
        <x:v>RMB_MILLION</x:v>
      </x:c>
      <x:c r="E259" s="43" t="n">
        <x:v>5707.53066528</x:v>
      </x:c>
      <x:c r="F259" s="43" t="n">
        <x:v>2029</x:v>
      </x:c>
      <x:c r="G259" s="39"/>
      <x:c r="H259" s="39"/>
    </x:row>
    <x:row r="260">
      <x:c r="A260" s="43" t="str">
        <x:v>BS_CONTRACT_LIABILITIES</x:v>
      </x:c>
      <x:c r="B260" s="43" t="str">
        <x:v>H3B_ATTEMPT005</x:v>
      </x:c>
      <x:c r="C260" s="43" t="str">
        <x:v>BASE</x:v>
      </x:c>
      <x:c r="D260" s="43" t="str">
        <x:v>RMB_MILLION</x:v>
      </x:c>
      <x:c r="E260" s="43" t="n">
        <x:v>62835.71937906</x:v>
      </x:c>
      <x:c r="F260" s="43" t="n">
        <x:v>2029</x:v>
      </x:c>
      <x:c r="G260" s="39"/>
      <x:c r="H260" s="39"/>
    </x:row>
    <x:row r="261">
      <x:c r="A261" s="43" t="str">
        <x:v>BS_CURRENT_PORTION_DEBT</x:v>
      </x:c>
      <x:c r="B261" s="43" t="str">
        <x:v>H3B_ATTEMPT005</x:v>
      </x:c>
      <x:c r="C261" s="43" t="str">
        <x:v>BASE</x:v>
      </x:c>
      <x:c r="D261" s="43" t="str">
        <x:v>RMB_MILLION</x:v>
      </x:c>
      <x:c r="E261" s="43" t="n">
        <x:v>0</x:v>
      </x:c>
      <x:c r="F261" s="43" t="n">
        <x:v>2029</x:v>
      </x:c>
      <x:c r="G261" s="39"/>
      <x:c r="H261" s="39"/>
    </x:row>
    <x:row r="262">
      <x:c r="A262" s="43" t="str">
        <x:v>BS_CURRENT_PORTION_NONCURRENT_ASSETS</x:v>
      </x:c>
      <x:c r="B262" s="43" t="str">
        <x:v>H3B_ATTEMPT005</x:v>
      </x:c>
      <x:c r="C262" s="43" t="str">
        <x:v>BASE</x:v>
      </x:c>
      <x:c r="D262" s="43" t="str">
        <x:v>RMB_MILLION</x:v>
      </x:c>
      <x:c r="E262" s="43" t="n">
        <x:v>155704.39543491</x:v>
      </x:c>
      <x:c r="F262" s="43" t="n">
        <x:v>2029</x:v>
      </x:c>
      <x:c r="G262" s="39"/>
      <x:c r="H262" s="39"/>
    </x:row>
    <x:row r="263">
      <x:c r="A263" s="43" t="str">
        <x:v>BS_CURRENT_PORTION_NONCURRENT_ASSETS_FINANCE</x:v>
      </x:c>
      <x:c r="B263" s="43" t="str">
        <x:v>H3B_ATTEMPT005</x:v>
      </x:c>
      <x:c r="C263" s="43" t="str">
        <x:v>BASE</x:v>
      </x:c>
      <x:c r="D263" s="43" t="str">
        <x:v>RMB_MILLION</x:v>
      </x:c>
      <x:c r="E263" s="43" t="n">
        <x:v>341.86743491</x:v>
      </x:c>
      <x:c r="F263" s="43" t="n">
        <x:v>2029</x:v>
      </x:c>
      <x:c r="G263" s="39"/>
      <x:c r="H263" s="39"/>
    </x:row>
    <x:row r="264">
      <x:c r="A264" s="43" t="str">
        <x:v>BS_CURRENT_PORTION_NONCURRENT_ASSETS_TREASURY</x:v>
      </x:c>
      <x:c r="B264" s="43" t="str">
        <x:v>H3B_ATTEMPT005</x:v>
      </x:c>
      <x:c r="C264" s="43" t="str">
        <x:v>BASE</x:v>
      </x:c>
      <x:c r="D264" s="43" t="str">
        <x:v>RMB_MILLION</x:v>
      </x:c>
      <x:c r="E264" s="43" t="n">
        <x:v>155362.528</x:v>
      </x:c>
      <x:c r="F264" s="43" t="n">
        <x:v>2029</x:v>
      </x:c>
      <x:c r="G264" s="39"/>
      <x:c r="H264" s="39"/>
    </x:row>
    <x:row r="265">
      <x:c r="A265" s="43" t="str">
        <x:v>BS_CUSTOMER_DEPOSITS</x:v>
      </x:c>
      <x:c r="B265" s="43" t="str">
        <x:v>H3B_ATTEMPT005</x:v>
      </x:c>
      <x:c r="C265" s="43" t="str">
        <x:v>BASE</x:v>
      </x:c>
      <x:c r="D265" s="43" t="str">
        <x:v>RMB_MILLION</x:v>
      </x:c>
      <x:c r="E265" s="43" t="n">
        <x:v>179.3221877</x:v>
      </x:c>
      <x:c r="F265" s="43" t="n">
        <x:v>2029</x:v>
      </x:c>
      <x:c r="G265" s="39"/>
      <x:c r="H265" s="39"/>
    </x:row>
    <x:row r="266">
      <x:c r="A266" s="43" t="str">
        <x:v>BS_DERIVATIVE_FINANCIAL_ASSETS</x:v>
      </x:c>
      <x:c r="B266" s="43" t="str">
        <x:v>H3B_ATTEMPT005</x:v>
      </x:c>
      <x:c r="C266" s="43" t="str">
        <x:v>BASE</x:v>
      </x:c>
      <x:c r="D266" s="43" t="str">
        <x:v>RMB_MILLION</x:v>
      </x:c>
      <x:c r="E266" s="43" t="n">
        <x:v>2972.64734535</x:v>
      </x:c>
      <x:c r="F266" s="43" t="n">
        <x:v>2029</x:v>
      </x:c>
      <x:c r="G266" s="39"/>
      <x:c r="H266" s="39"/>
    </x:row>
    <x:row r="267">
      <x:c r="A267" s="43" t="str">
        <x:v>BS_DERIVATIVE_LIABILITIES</x:v>
      </x:c>
      <x:c r="B267" s="43" t="str">
        <x:v>H3B_ATTEMPT005</x:v>
      </x:c>
      <x:c r="C267" s="43" t="str">
        <x:v>BASE</x:v>
      </x:c>
      <x:c r="D267" s="43" t="str">
        <x:v>RMB_MILLION</x:v>
      </x:c>
      <x:c r="E267" s="43" t="n">
        <x:v>1137.84079877</x:v>
      </x:c>
      <x:c r="F267" s="43" t="n">
        <x:v>2029</x:v>
      </x:c>
      <x:c r="G267" s="39"/>
      <x:c r="H267" s="39"/>
    </x:row>
    <x:row r="268">
      <x:c r="A268" s="43" t="str">
        <x:v>BS_EMPLOYEE_COMP</x:v>
      </x:c>
      <x:c r="B268" s="43" t="str">
        <x:v>H3B_ATTEMPT005</x:v>
      </x:c>
      <x:c r="C268" s="43" t="str">
        <x:v>BASE</x:v>
      </x:c>
      <x:c r="D268" s="43" t="str">
        <x:v>RMB_MILLION</x:v>
      </x:c>
      <x:c r="E268" s="43" t="n">
        <x:v>12897.19110239</x:v>
      </x:c>
      <x:c r="F268" s="43" t="n">
        <x:v>2029</x:v>
      </x:c>
      <x:c r="G268" s="39"/>
      <x:c r="H268" s="39"/>
    </x:row>
    <x:row r="269">
      <x:c r="A269" s="43" t="str">
        <x:v>BS_GOODWILL</x:v>
      </x:c>
      <x:c r="B269" s="43" t="str">
        <x:v>H3B_ATTEMPT005</x:v>
      </x:c>
      <x:c r="C269" s="43" t="str">
        <x:v>BASE</x:v>
      </x:c>
      <x:c r="D269" s="43" t="str">
        <x:v>RMB_MILLION</x:v>
      </x:c>
      <x:c r="E269" s="43" t="n">
        <x:v>45805.79300288</x:v>
      </x:c>
      <x:c r="F269" s="43" t="n">
        <x:v>2029</x:v>
      </x:c>
      <x:c r="G269" s="39"/>
      <x:c r="H269" s="39"/>
    </x:row>
    <x:row r="270">
      <x:c r="A270" s="43" t="str">
        <x:v>BS_INCOME_TAX_PAYABLE</x:v>
      </x:c>
      <x:c r="B270" s="43" t="str">
        <x:v>H3B_ATTEMPT005</x:v>
      </x:c>
      <x:c r="C270" s="43" t="str">
        <x:v>BASE</x:v>
      </x:c>
      <x:c r="D270" s="43" t="str">
        <x:v>RMB_MILLION</x:v>
      </x:c>
      <x:c r="E270" s="43" t="n">
        <x:v>5997.31296726</x:v>
      </x:c>
      <x:c r="F270" s="43" t="n">
        <x:v>2029</x:v>
      </x:c>
      <x:c r="G270" s="39"/>
      <x:c r="H270" s="39"/>
    </x:row>
    <x:row r="271">
      <x:c r="A271" s="43" t="str">
        <x:v>BS_INTANGIBLES</x:v>
      </x:c>
      <x:c r="B271" s="43" t="str">
        <x:v>H3B_ATTEMPT005</x:v>
      </x:c>
      <x:c r="C271" s="43" t="str">
        <x:v>BASE</x:v>
      </x:c>
      <x:c r="D271" s="43" t="str">
        <x:v>RMB_MILLION</x:v>
      </x:c>
      <x:c r="E271" s="43" t="n">
        <x:v>30116.66056422</x:v>
      </x:c>
      <x:c r="F271" s="43" t="n">
        <x:v>2029</x:v>
      </x:c>
      <x:c r="G271" s="39"/>
      <x:c r="H271" s="39"/>
    </x:row>
    <x:row r="272">
      <x:c r="A272" s="43" t="str">
        <x:v>BS_INVENTORY</x:v>
      </x:c>
      <x:c r="B272" s="43" t="str">
        <x:v>H3B_ATTEMPT005</x:v>
      </x:c>
      <x:c r="C272" s="43" t="str">
        <x:v>BASE</x:v>
      </x:c>
      <x:c r="D272" s="43" t="str">
        <x:v>RMB_MILLION</x:v>
      </x:c>
      <x:c r="E272" s="43" t="n">
        <x:v>77597.93440896</x:v>
      </x:c>
      <x:c r="F272" s="43" t="n">
        <x:v>2029</x:v>
      </x:c>
      <x:c r="G272" s="39"/>
      <x:c r="H272" s="39"/>
    </x:row>
    <x:row r="273">
      <x:c r="A273" s="43" t="str">
        <x:v>BS_LOANS_ADVANCES_CURRENT</x:v>
      </x:c>
      <x:c r="B273" s="43" t="str">
        <x:v>H3B_ATTEMPT005</x:v>
      </x:c>
      <x:c r="C273" s="43" t="str">
        <x:v>BASE</x:v>
      </x:c>
      <x:c r="D273" s="43" t="str">
        <x:v>RMB_MILLION</x:v>
      </x:c>
      <x:c r="E273" s="43" t="n">
        <x:v>15750.31661945</x:v>
      </x:c>
      <x:c r="F273" s="43" t="n">
        <x:v>2029</x:v>
      </x:c>
      <x:c r="G273" s="39"/>
      <x:c r="H273" s="39"/>
    </x:row>
    <x:row r="274">
      <x:c r="A274" s="43" t="str">
        <x:v>BS_LONG_TERM_BORROWINGS</x:v>
      </x:c>
      <x:c r="B274" s="43" t="str">
        <x:v>H3B_ATTEMPT005</x:v>
      </x:c>
      <x:c r="C274" s="43" t="str">
        <x:v>BASE</x:v>
      </x:c>
      <x:c r="D274" s="43" t="str">
        <x:v>RMB_MILLION</x:v>
      </x:c>
      <x:c r="E274" s="43" t="n">
        <x:v>24748.63488632</x:v>
      </x:c>
      <x:c r="F274" s="43" t="n">
        <x:v>2029</x:v>
      </x:c>
      <x:c r="G274" s="39"/>
      <x:c r="H274" s="39"/>
    </x:row>
    <x:row r="275">
      <x:c r="A275" s="43" t="str">
        <x:v>BS_LONG_TERM_INVESTMENTS</x:v>
      </x:c>
      <x:c r="B275" s="43" t="str">
        <x:v>H3B_ATTEMPT005</x:v>
      </x:c>
      <x:c r="C275" s="43" t="str">
        <x:v>BASE</x:v>
      </x:c>
      <x:c r="D275" s="43" t="str">
        <x:v>RMB_MILLION</x:v>
      </x:c>
      <x:c r="E275" s="43" t="n">
        <x:v>6384.84331105</x:v>
      </x:c>
      <x:c r="F275" s="43" t="n">
        <x:v>2029</x:v>
      </x:c>
      <x:c r="G275" s="39"/>
      <x:c r="H275" s="39"/>
    </x:row>
    <x:row r="276">
      <x:c r="A276" s="43" t="str">
        <x:v>BS_NCI</x:v>
      </x:c>
      <x:c r="B276" s="43" t="str">
        <x:v>H3B_ATTEMPT005</x:v>
      </x:c>
      <x:c r="C276" s="43" t="str">
        <x:v>BASE</x:v>
      </x:c>
      <x:c r="D276" s="43" t="str">
        <x:v>RMB_MILLION</x:v>
      </x:c>
      <x:c r="E276" s="43" t="n">
        <x:v>15663.24430078</x:v>
      </x:c>
      <x:c r="F276" s="43" t="n">
        <x:v>2029</x:v>
      </x:c>
      <x:c r="G276" s="39"/>
      <x:c r="H276" s="39"/>
    </x:row>
    <x:row r="277">
      <x:c r="A277" s="43" t="str">
        <x:v>BS_NOTES_PAYABLE</x:v>
      </x:c>
      <x:c r="B277" s="43" t="str">
        <x:v>H3B_ATTEMPT005</x:v>
      </x:c>
      <x:c r="C277" s="43" t="str">
        <x:v>BASE</x:v>
      </x:c>
      <x:c r="D277" s="43" t="str">
        <x:v>RMB_MILLION</x:v>
      </x:c>
      <x:c r="E277" s="43" t="n">
        <x:v>36265.41671362</x:v>
      </x:c>
      <x:c r="F277" s="43" t="n">
        <x:v>2029</x:v>
      </x:c>
      <x:c r="G277" s="39"/>
      <x:c r="H277" s="39"/>
    </x:row>
    <x:row r="278">
      <x:c r="A278" s="43" t="str">
        <x:v>BS_NOTES_RECEIVABLE</x:v>
      </x:c>
      <x:c r="B278" s="43" t="str">
        <x:v>H3B_ATTEMPT005</x:v>
      </x:c>
      <x:c r="C278" s="43" t="str">
        <x:v>BASE</x:v>
      </x:c>
      <x:c r="D278" s="43" t="str">
        <x:v>RMB_MILLION</x:v>
      </x:c>
      <x:c r="E278" s="43" t="n">
        <x:v>7015.59182391</x:v>
      </x:c>
      <x:c r="F278" s="43" t="n">
        <x:v>2029</x:v>
      </x:c>
      <x:c r="G278" s="39"/>
      <x:c r="H278" s="39"/>
    </x:row>
    <x:row r="279">
      <x:c r="A279" s="43" t="str">
        <x:v>BS_OTHER_CURRENT_ASSETS</x:v>
      </x:c>
      <x:c r="B279" s="43" t="str">
        <x:v>H3B_ATTEMPT005</x:v>
      </x:c>
      <x:c r="C279" s="43" t="str">
        <x:v>BASE</x:v>
      </x:c>
      <x:c r="D279" s="43" t="str">
        <x:v>RMB_MILLION</x:v>
      </x:c>
      <x:c r="E279" s="43" t="n">
        <x:v>33450.45979299</x:v>
      </x:c>
      <x:c r="F279" s="43" t="n">
        <x:v>2029</x:v>
      </x:c>
      <x:c r="G279" s="39"/>
      <x:c r="H279" s="39"/>
    </x:row>
    <x:row r="280">
      <x:c r="A280" s="43" t="str">
        <x:v>BS_OTHER_CURRENT_ASSETS_HEDGE</x:v>
      </x:c>
      <x:c r="B280" s="43" t="str">
        <x:v>H3B_ATTEMPT005</x:v>
      </x:c>
      <x:c r="C280" s="43" t="str">
        <x:v>BASE</x:v>
      </x:c>
      <x:c r="D280" s="43" t="str">
        <x:v>RMB_MILLION</x:v>
      </x:c>
      <x:c r="E280" s="43" t="n">
        <x:v>4280.67373867</x:v>
      </x:c>
      <x:c r="F280" s="43" t="n">
        <x:v>2029</x:v>
      </x:c>
      <x:c r="G280" s="39"/>
      <x:c r="H280" s="39"/>
    </x:row>
    <x:row r="281">
      <x:c r="A281" s="43" t="str">
        <x:v>BS_OTHER_CURRENT_ASSETS_OPERATING</x:v>
      </x:c>
      <x:c r="B281" s="43" t="str">
        <x:v>H3B_ATTEMPT005</x:v>
      </x:c>
      <x:c r="C281" s="43" t="str">
        <x:v>BASE</x:v>
      </x:c>
      <x:c r="D281" s="43" t="str">
        <x:v>RMB_MILLION</x:v>
      </x:c>
      <x:c r="E281" s="43" t="n">
        <x:v>27742.65205432</x:v>
      </x:c>
      <x:c r="F281" s="43" t="n">
        <x:v>2029</x:v>
      </x:c>
      <x:c r="G281" s="39"/>
      <x:c r="H281" s="39"/>
    </x:row>
    <x:row r="282">
      <x:c r="A282" s="43" t="str">
        <x:v>BS_OTHER_CURRENT_ASSETS_TREASURY</x:v>
      </x:c>
      <x:c r="B282" s="43" t="str">
        <x:v>H3B_ATTEMPT005</x:v>
      </x:c>
      <x:c r="C282" s="43" t="str">
        <x:v>BASE</x:v>
      </x:c>
      <x:c r="D282" s="43" t="str">
        <x:v>RMB_MILLION</x:v>
      </x:c>
      <x:c r="E282" s="43" t="n">
        <x:v>1427.134</x:v>
      </x:c>
      <x:c r="F282" s="43" t="n">
        <x:v>2029</x:v>
      </x:c>
      <x:c r="G282" s="39"/>
      <x:c r="H282" s="39"/>
    </x:row>
    <x:row r="283">
      <x:c r="A283" s="43" t="str">
        <x:v>BS_OTHER_CURRENT_LIABILITIES</x:v>
      </x:c>
      <x:c r="B283" s="43" t="str">
        <x:v>H3B_ATTEMPT005</x:v>
      </x:c>
      <x:c r="C283" s="43" t="str">
        <x:v>BASE</x:v>
      </x:c>
      <x:c r="D283" s="43" t="str">
        <x:v>RMB_MILLION</x:v>
      </x:c>
      <x:c r="E283" s="43" t="n">
        <x:v>123734.34061</x:v>
      </x:c>
      <x:c r="F283" s="43" t="n">
        <x:v>2029</x:v>
      </x:c>
      <x:c r="G283" s="39"/>
      <x:c r="H283" s="39"/>
    </x:row>
    <x:row r="284">
      <x:c r="A284" s="43" t="str">
        <x:v>BS_OTHER_CURRENT_LIABILITIES_HEDGE</x:v>
      </x:c>
      <x:c r="B284" s="43" t="str">
        <x:v>H3B_ATTEMPT005</x:v>
      </x:c>
      <x:c r="C284" s="43" t="str">
        <x:v>BASE</x:v>
      </x:c>
      <x:c r="D284" s="43" t="str">
        <x:v>RMB_MILLION</x:v>
      </x:c>
      <x:c r="E284" s="43" t="n">
        <x:v>28.72150169</x:v>
      </x:c>
      <x:c r="F284" s="43" t="n">
        <x:v>2029</x:v>
      </x:c>
      <x:c r="G284" s="39"/>
      <x:c r="H284" s="39"/>
    </x:row>
    <x:row r="285">
      <x:c r="A285" s="43" t="str">
        <x:v>BS_OTHER_CURRENT_LIABILITIES_OPERATING</x:v>
      </x:c>
      <x:c r="B285" s="43" t="str">
        <x:v>H3B_ATTEMPT005</x:v>
      </x:c>
      <x:c r="C285" s="43" t="str">
        <x:v>BASE</x:v>
      </x:c>
      <x:c r="D285" s="43" t="str">
        <x:v>RMB_MILLION</x:v>
      </x:c>
      <x:c r="E285" s="43" t="n">
        <x:v>123705.61910831</x:v>
      </x:c>
      <x:c r="F285" s="43" t="n">
        <x:v>2029</x:v>
      </x:c>
      <x:c r="G285" s="39"/>
      <x:c r="H285" s="39"/>
    </x:row>
    <x:row r="286">
      <x:c r="A286" s="43" t="str">
        <x:v>BS_OTHER_NONCURRENT_FINANCIAL_ASSETS</x:v>
      </x:c>
      <x:c r="B286" s="43" t="str">
        <x:v>H3B_ATTEMPT005</x:v>
      </x:c>
      <x:c r="C286" s="43" t="str">
        <x:v>BASE</x:v>
      </x:c>
      <x:c r="D286" s="43" t="str">
        <x:v>RMB_MILLION</x:v>
      </x:c>
      <x:c r="E286" s="43" t="n">
        <x:v>6399.61188582</x:v>
      </x:c>
      <x:c r="F286" s="43" t="n">
        <x:v>2029</x:v>
      </x:c>
      <x:c r="G286" s="39"/>
      <x:c r="H286" s="39"/>
    </x:row>
    <x:row r="287">
      <x:c r="A287" s="43" t="str">
        <x:v>BS_OTHER_PAYABLES</x:v>
      </x:c>
      <x:c r="B287" s="43" t="str">
        <x:v>H3B_ATTEMPT005</x:v>
      </x:c>
      <x:c r="C287" s="43" t="str">
        <x:v>BASE</x:v>
      </x:c>
      <x:c r="D287" s="43" t="str">
        <x:v>RMB_MILLION</x:v>
      </x:c>
      <x:c r="E287" s="43" t="n">
        <x:v>6449.60307687</x:v>
      </x:c>
      <x:c r="F287" s="43" t="n">
        <x:v>2029</x:v>
      </x:c>
      <x:c r="G287" s="39"/>
      <x:c r="H287" s="39"/>
    </x:row>
    <x:row r="288">
      <x:c r="A288" s="43" t="str">
        <x:v>BS_OTHER_RECEIVABLES</x:v>
      </x:c>
      <x:c r="B288" s="43" t="str">
        <x:v>H3B_ATTEMPT005</x:v>
      </x:c>
      <x:c r="C288" s="43" t="str">
        <x:v>BASE</x:v>
      </x:c>
      <x:c r="D288" s="43" t="str">
        <x:v>RMB_MILLION</x:v>
      </x:c>
      <x:c r="E288" s="43" t="n">
        <x:v>4266.22741165</x:v>
      </x:c>
      <x:c r="F288" s="43" t="n">
        <x:v>2029</x:v>
      </x:c>
      <x:c r="G288" s="39"/>
      <x:c r="H288" s="39"/>
    </x:row>
    <x:row r="289">
      <x:c r="A289" s="43" t="str">
        <x:v>BS_OTHER_RESERVES</x:v>
      </x:c>
      <x:c r="B289" s="43" t="str">
        <x:v>H3B_ATTEMPT005</x:v>
      </x:c>
      <x:c r="C289" s="43" t="str">
        <x:v>BASE</x:v>
      </x:c>
      <x:c r="D289" s="43" t="str">
        <x:v>RMB_MILLION</x:v>
      </x:c>
      <x:c r="E289" s="43" t="n">
        <x:v>11196.537</x:v>
      </x:c>
      <x:c r="F289" s="43" t="n">
        <x:v>2029</x:v>
      </x:c>
      <x:c r="G289" s="39"/>
      <x:c r="H289" s="39"/>
    </x:row>
    <x:row r="290">
      <x:c r="A290" s="43" t="str">
        <x:v>BS_OTHER_TAXES_PAYABLE</x:v>
      </x:c>
      <x:c r="B290" s="43" t="str">
        <x:v>H3B_ATTEMPT005</x:v>
      </x:c>
      <x:c r="C290" s="43" t="str">
        <x:v>BASE</x:v>
      </x:c>
      <x:c r="D290" s="43" t="str">
        <x:v>RMB_MILLION</x:v>
      </x:c>
      <x:c r="E290" s="43" t="n">
        <x:v>3581.99379322</x:v>
      </x:c>
      <x:c r="F290" s="43" t="n">
        <x:v>2029</x:v>
      </x:c>
      <x:c r="G290" s="39"/>
      <x:c r="H290" s="39"/>
    </x:row>
    <x:row r="291">
      <x:c r="A291" s="43" t="str">
        <x:v>BS_PARENT_EQUITY</x:v>
      </x:c>
      <x:c r="B291" s="43" t="str">
        <x:v>H3B_ATTEMPT005</x:v>
      </x:c>
      <x:c r="C291" s="43" t="str">
        <x:v>BASE</x:v>
      </x:c>
      <x:c r="D291" s="43" t="str">
        <x:v>RMB_MILLION</x:v>
      </x:c>
      <x:c r="E291" s="43" t="n">
        <x:v>280872.51361074</x:v>
      </x:c>
      <x:c r="F291" s="43" t="n">
        <x:v>2029</x:v>
      </x:c>
      <x:c r="G291" s="39"/>
      <x:c r="H291" s="39"/>
    </x:row>
    <x:row r="292">
      <x:c r="A292" s="43" t="str">
        <x:v>BS_PPE</x:v>
      </x:c>
      <x:c r="B292" s="43" t="str">
        <x:v>H3B_ATTEMPT005</x:v>
      </x:c>
      <x:c r="C292" s="43" t="str">
        <x:v>BASE</x:v>
      </x:c>
      <x:c r="D292" s="43" t="str">
        <x:v>RMB_MILLION</x:v>
      </x:c>
      <x:c r="E292" s="43" t="n">
        <x:v>51744.7374176</x:v>
      </x:c>
      <x:c r="F292" s="43" t="n">
        <x:v>2029</x:v>
      </x:c>
      <x:c r="G292" s="39"/>
      <x:c r="H292" s="39"/>
    </x:row>
    <x:row r="293">
      <x:c r="A293" s="43" t="str">
        <x:v>BS_PREPAYMENTS</x:v>
      </x:c>
      <x:c r="B293" s="43" t="str">
        <x:v>H3B_ATTEMPT005</x:v>
      </x:c>
      <x:c r="C293" s="43" t="str">
        <x:v>BASE</x:v>
      </x:c>
      <x:c r="D293" s="43" t="str">
        <x:v>RMB_MILLION</x:v>
      </x:c>
      <x:c r="E293" s="43" t="n">
        <x:v>3994.39069972</x:v>
      </x:c>
      <x:c r="F293" s="43" t="n">
        <x:v>2029</x:v>
      </x:c>
      <x:c r="G293" s="39"/>
      <x:c r="H293" s="39"/>
    </x:row>
    <x:row r="294">
      <x:c r="A294" s="43" t="str">
        <x:v>BS_RECEIVABLES_FINANCING</x:v>
      </x:c>
      <x:c r="B294" s="43" t="str">
        <x:v>H3B_ATTEMPT005</x:v>
      </x:c>
      <x:c r="C294" s="43" t="str">
        <x:v>BASE</x:v>
      </x:c>
      <x:c r="D294" s="43" t="str">
        <x:v>RMB_MILLION</x:v>
      </x:c>
      <x:c r="E294" s="43" t="n">
        <x:v>19970.46126415</x:v>
      </x:c>
      <x:c r="F294" s="43" t="n">
        <x:v>2029</x:v>
      </x:c>
      <x:c r="G294" s="39"/>
      <x:c r="H294" s="39"/>
    </x:row>
    <x:row r="295">
      <x:c r="A295" s="43" t="str">
        <x:v>BS_RESTRICTED_CASH</x:v>
      </x:c>
      <x:c r="B295" s="43" t="str">
        <x:v>H3B_ATTEMPT005</x:v>
      </x:c>
      <x:c r="C295" s="43" t="str">
        <x:v>BASE</x:v>
      </x:c>
      <x:c r="D295" s="43" t="str">
        <x:v>RMB_MILLION</x:v>
      </x:c>
      <x:c r="E295" s="43" t="n">
        <x:v>6305.28555364</x:v>
      </x:c>
      <x:c r="F295" s="43" t="n">
        <x:v>2029</x:v>
      </x:c>
      <x:c r="G295" s="39"/>
      <x:c r="H295" s="39"/>
    </x:row>
    <x:row r="296">
      <x:c r="A296" s="43" t="str">
        <x:v>BS_RETAINED_EARNINGS</x:v>
      </x:c>
      <x:c r="B296" s="43" t="str">
        <x:v>H3B_ATTEMPT005</x:v>
      </x:c>
      <x:c r="C296" s="43" t="str">
        <x:v>BASE</x:v>
      </x:c>
      <x:c r="D296" s="43" t="str">
        <x:v>RMB_MILLION</x:v>
      </x:c>
      <x:c r="E296" s="43" t="n">
        <x:v>224879.22861074</x:v>
      </x:c>
      <x:c r="F296" s="43" t="n">
        <x:v>2029</x:v>
      </x:c>
      <x:c r="G296" s="39"/>
      <x:c r="H296" s="39"/>
    </x:row>
    <x:row r="297">
      <x:c r="A297" s="43" t="str">
        <x:v>BS_SHARE_CAPITAL</x:v>
      </x:c>
      <x:c r="B297" s="43" t="str">
        <x:v>H3B_ATTEMPT005</x:v>
      </x:c>
      <x:c r="C297" s="43" t="str">
        <x:v>BASE</x:v>
      </x:c>
      <x:c r="D297" s="43" t="str">
        <x:v>RMB_MILLION</x:v>
      </x:c>
      <x:c r="E297" s="43" t="n">
        <x:v>7597.145</x:v>
      </x:c>
      <x:c r="F297" s="43" t="n">
        <x:v>2029</x:v>
      </x:c>
      <x:c r="G297" s="39"/>
      <x:c r="H297" s="39"/>
    </x:row>
    <x:row r="298">
      <x:c r="A298" s="43" t="str">
        <x:v>BS_SHORT_TERM_BORROWING</x:v>
      </x:c>
      <x:c r="B298" s="43" t="str">
        <x:v>H3B_ATTEMPT005</x:v>
      </x:c>
      <x:c r="C298" s="43" t="str">
        <x:v>BASE</x:v>
      </x:c>
      <x:c r="D298" s="43" t="str">
        <x:v>RMB_MILLION</x:v>
      </x:c>
      <x:c r="E298" s="43" t="n">
        <x:v>58705.98729395</x:v>
      </x:c>
      <x:c r="F298" s="43" t="n">
        <x:v>2029</x:v>
      </x:c>
      <x:c r="G298" s="39"/>
      <x:c r="H298" s="39"/>
    </x:row>
    <x:row r="299">
      <x:c r="A299" s="43" t="str">
        <x:v>BS_TAXES_PAYABLE</x:v>
      </x:c>
      <x:c r="B299" s="43" t="str">
        <x:v>H3B_ATTEMPT005</x:v>
      </x:c>
      <x:c r="C299" s="43" t="str">
        <x:v>BASE</x:v>
      </x:c>
      <x:c r="D299" s="43" t="str">
        <x:v>RMB_MILLION</x:v>
      </x:c>
      <x:c r="E299" s="43" t="n">
        <x:v>9579.30676048</x:v>
      </x:c>
      <x:c r="F299" s="43" t="n">
        <x:v>2029</x:v>
      </x:c>
      <x:c r="G299" s="39"/>
      <x:c r="H299" s="39"/>
    </x:row>
    <x:row r="300">
      <x:c r="A300" s="43" t="str">
        <x:v>BS_TERM_DEPOSITS</x:v>
      </x:c>
      <x:c r="B300" s="43" t="str">
        <x:v>H3B_ATTEMPT005</x:v>
      </x:c>
      <x:c r="C300" s="43" t="str">
        <x:v>BASE</x:v>
      </x:c>
      <x:c r="D300" s="43" t="str">
        <x:v>RMB_MILLION</x:v>
      </x:c>
      <x:c r="E300" s="43" t="n">
        <x:v>15968.79659007</x:v>
      </x:c>
      <x:c r="F300" s="43" t="n">
        <x:v>2029</x:v>
      </x:c>
      <x:c r="G300" s="39"/>
      <x:c r="H300" s="39"/>
    </x:row>
    <x:row r="301">
      <x:c r="A301" s="43" t="str">
        <x:v>BS_TOTAL_ASSETS</x:v>
      </x:c>
      <x:c r="B301" s="43" t="str">
        <x:v>H3B_ATTEMPT005</x:v>
      </x:c>
      <x:c r="C301" s="43" t="str">
        <x:v>BASE</x:v>
      </x:c>
      <x:c r="D301" s="43" t="str">
        <x:v>RMB_MILLION</x:v>
      </x:c>
      <x:c r="E301" s="43" t="n">
        <x:v>773853.04507671</x:v>
      </x:c>
      <x:c r="F301" s="43" t="n">
        <x:v>2029</x:v>
      </x:c>
      <x:c r="G301" s="39"/>
      <x:c r="H301" s="39"/>
    </x:row>
    <x:row r="302">
      <x:c r="A302" s="43" t="str">
        <x:v>BS_TOTAL_CURRENT_ASSETS</x:v>
      </x:c>
      <x:c r="B302" s="43" t="str">
        <x:v>H3B_ATTEMPT005</x:v>
      </x:c>
      <x:c r="C302" s="43" t="str">
        <x:v>BASE</x:v>
      </x:c>
      <x:c r="D302" s="43" t="str">
        <x:v>RMB_MILLION</x:v>
      </x:c>
      <x:c r="E302" s="43" t="n">
        <x:v>520798.21777927</x:v>
      </x:c>
      <x:c r="F302" s="43" t="n">
        <x:v>2029</x:v>
      </x:c>
      <x:c r="G302" s="39"/>
      <x:c r="H302" s="39"/>
    </x:row>
    <x:row r="303">
      <x:c r="A303" s="43" t="str">
        <x:v>BS_TOTAL_CURRENT_ASSETS_OTHER_IMMATERIAL_COMPONENTS</x:v>
      </x:c>
      <x:c r="B303" s="43" t="str">
        <x:v>H3B_ATTEMPT005</x:v>
      </x:c>
      <x:c r="C303" s="43" t="str">
        <x:v>BASE</x:v>
      </x:c>
      <x:c r="D303" s="43" t="str">
        <x:v>RMB_MILLION</x:v>
      </x:c>
      <x:c r="E303" s="43" t="n">
        <x:v>0</x:v>
      </x:c>
      <x:c r="F303" s="43" t="n">
        <x:v>2029</x:v>
      </x:c>
      <x:c r="G303" s="39"/>
      <x:c r="H303" s="39"/>
    </x:row>
    <x:row r="304">
      <x:c r="A304" s="43" t="str">
        <x:v>BS_TOTAL_CURRENT_LIABILITIES</x:v>
      </x:c>
      <x:c r="B304" s="43" t="str">
        <x:v>H3B_ATTEMPT005</x:v>
      </x:c>
      <x:c r="C304" s="43" t="str">
        <x:v>BASE</x:v>
      </x:c>
      <x:c r="D304" s="43" t="str">
        <x:v>RMB_MILLION</x:v>
      </x:c>
      <x:c r="E304" s="43" t="n">
        <x:v>430740.04356807</x:v>
      </x:c>
      <x:c r="F304" s="43" t="n">
        <x:v>2029</x:v>
      </x:c>
      <x:c r="G304" s="39"/>
      <x:c r="H304" s="39"/>
    </x:row>
    <x:row r="305">
      <x:c r="A305" s="43" t="str">
        <x:v>BS_TOTAL_CURRENT_LIABILITIES_OTHER_IMMATERIAL_COMPONENTS</x:v>
      </x:c>
      <x:c r="B305" s="43" t="str">
        <x:v>H3B_ATTEMPT005</x:v>
      </x:c>
      <x:c r="C305" s="43" t="str">
        <x:v>BASE</x:v>
      </x:c>
      <x:c r="D305" s="43" t="str">
        <x:v>RMB_MILLION</x:v>
      </x:c>
      <x:c r="E305" s="43" t="n">
        <x:v>0</x:v>
      </x:c>
      <x:c r="F305" s="43" t="n">
        <x:v>2029</x:v>
      </x:c>
      <x:c r="G305" s="39"/>
      <x:c r="H305" s="39"/>
    </x:row>
    <x:row r="306">
      <x:c r="A306" s="43" t="str">
        <x:v>BS_TOTAL_EQUITY</x:v>
      </x:c>
      <x:c r="B306" s="43" t="str">
        <x:v>H3B_ATTEMPT005</x:v>
      </x:c>
      <x:c r="C306" s="43" t="str">
        <x:v>BASE</x:v>
      </x:c>
      <x:c r="D306" s="43" t="str">
        <x:v>RMB_MILLION</x:v>
      </x:c>
      <x:c r="E306" s="43" t="n">
        <x:v>296535.75791152</x:v>
      </x:c>
      <x:c r="F306" s="43" t="n">
        <x:v>2029</x:v>
      </x:c>
      <x:c r="G306" s="39"/>
      <x:c r="H306" s="39"/>
    </x:row>
    <x:row r="307">
      <x:c r="A307" s="43" t="str">
        <x:v>BS_TOTAL_LIABILITIES</x:v>
      </x:c>
      <x:c r="B307" s="43" t="str">
        <x:v>H3B_ATTEMPT005</x:v>
      </x:c>
      <x:c r="C307" s="43" t="str">
        <x:v>BASE</x:v>
      </x:c>
      <x:c r="D307" s="43" t="str">
        <x:v>RMB_MILLION</x:v>
      </x:c>
      <x:c r="E307" s="43" t="n">
        <x:v>477317.28716519</x:v>
      </x:c>
      <x:c r="F307" s="43" t="n">
        <x:v>2029</x:v>
      </x:c>
      <x:c r="G307" s="39"/>
      <x:c r="H307" s="39"/>
    </x:row>
    <x:row r="308">
      <x:c r="A308" s="43" t="str">
        <x:v>BS_TOTAL_NONCURRENT_ASSETS</x:v>
      </x:c>
      <x:c r="B308" s="43" t="str">
        <x:v>H3B_ATTEMPT005</x:v>
      </x:c>
      <x:c r="C308" s="43" t="str">
        <x:v>BASE</x:v>
      </x:c>
      <x:c r="D308" s="43" t="str">
        <x:v>RMB_MILLION</x:v>
      </x:c>
      <x:c r="E308" s="43" t="n">
        <x:v>253054.82729744</x:v>
      </x:c>
      <x:c r="F308" s="43" t="n">
        <x:v>2029</x:v>
      </x:c>
      <x:c r="G308" s="39"/>
      <x:c r="H308" s="39"/>
    </x:row>
    <x:row r="309">
      <x:c r="A309" s="43" t="str">
        <x:v>BS_TOTAL_NONCURRENT_ASSETS_OTHER_IMMATERIAL_COMPONENTS</x:v>
      </x:c>
      <x:c r="B309" s="43" t="str">
        <x:v>H3B_ATTEMPT005</x:v>
      </x:c>
      <x:c r="C309" s="43" t="str">
        <x:v>BASE</x:v>
      </x:c>
      <x:c r="D309" s="43" t="str">
        <x:v>RMB_MILLION</x:v>
      </x:c>
      <x:c r="E309" s="43" t="n">
        <x:v>105170.90666958</x:v>
      </x:c>
      <x:c r="F309" s="43" t="n">
        <x:v>2029</x:v>
      </x:c>
      <x:c r="G309" s="39"/>
      <x:c r="H309" s="39"/>
    </x:row>
    <x:row r="310">
      <x:c r="A310" s="43" t="str">
        <x:v>BS_TOTAL_NONCURRENT_LIABILITIES</x:v>
      </x:c>
      <x:c r="B310" s="43" t="str">
        <x:v>H3B_ATTEMPT005</x:v>
      </x:c>
      <x:c r="C310" s="43" t="str">
        <x:v>BASE</x:v>
      </x:c>
      <x:c r="D310" s="43" t="str">
        <x:v>RMB_MILLION</x:v>
      </x:c>
      <x:c r="E310" s="43" t="n">
        <x:v>46577.24359712</x:v>
      </x:c>
      <x:c r="F310" s="43" t="n">
        <x:v>2029</x:v>
      </x:c>
      <x:c r="G310" s="39"/>
      <x:c r="H310" s="39"/>
    </x:row>
    <x:row r="311">
      <x:c r="A311" s="43" t="str">
        <x:v>BS_TOTAL_NONCURRENT_LIABILITIES_OTHER_IMMATERIAL_COMPONENTS</x:v>
      </x:c>
      <x:c r="B311" s="43" t="str">
        <x:v>H3B_ATTEMPT005</x:v>
      </x:c>
      <x:c r="C311" s="43" t="str">
        <x:v>BASE</x:v>
      </x:c>
      <x:c r="D311" s="43" t="str">
        <x:v>RMB_MILLION</x:v>
      </x:c>
      <x:c r="E311" s="43" t="n">
        <x:v>21828.6087108</x:v>
      </x:c>
      <x:c r="F311" s="43" t="n">
        <x:v>2029</x:v>
      </x:c>
      <x:c r="G311" s="39"/>
      <x:c r="H311" s="39"/>
    </x:row>
    <x:row r="312">
      <x:c r="A312" s="43" t="str">
        <x:v>BS_TRADING_FINANCIAL_ASSETS</x:v>
      </x:c>
      <x:c r="B312" s="43" t="str">
        <x:v>H3B_ATTEMPT005</x:v>
      </x:c>
      <x:c r="C312" s="43" t="str">
        <x:v>BASE</x:v>
      </x:c>
      <x:c r="D312" s="43" t="str">
        <x:v>RMB_MILLION</x:v>
      </x:c>
      <x:c r="E312" s="43" t="n">
        <x:v>950.31934439</x:v>
      </x:c>
      <x:c r="F312" s="43" t="n">
        <x:v>2029</x:v>
      </x:c>
      <x:c r="G312" s="39"/>
      <x:c r="H312" s="39"/>
    </x:row>
    <x:row r="313">
      <x:c r="A313" s="43" t="str">
        <x:v>BS_TRADING_FINANCIAL_LIABILITIES</x:v>
      </x:c>
      <x:c r="B313" s="43" t="str">
        <x:v>H3B_ATTEMPT005</x:v>
      </x:c>
      <x:c r="C313" s="43" t="str">
        <x:v>BASE</x:v>
      </x:c>
      <x:c r="D313" s="43" t="str">
        <x:v>RMB_MILLION</x:v>
      </x:c>
      <x:c r="E313" s="43" t="n">
        <x:v>944.59911235</x:v>
      </x:c>
      <x:c r="F313" s="43" t="n">
        <x:v>2029</x:v>
      </x:c>
      <x:c r="G313" s="39"/>
      <x:c r="H313" s="39"/>
    </x:row>
    <x:row r="314">
      <x:c r="A314" s="43" t="str">
        <x:v>BS_TREASURY_SHARES</x:v>
      </x:c>
      <x:c r="B314" s="43" t="str">
        <x:v>H3B_ATTEMPT005</x:v>
      </x:c>
      <x:c r="C314" s="43" t="str">
        <x:v>BASE</x:v>
      </x:c>
      <x:c r="D314" s="43" t="str">
        <x:v>RMB_MILLION</x:v>
      </x:c>
      <x:c r="E314" s="43" t="n">
        <x:v>-8151.117</x:v>
      </x:c>
      <x:c r="F314" s="43" t="n">
        <x:v>2029</x:v>
      </x:c>
      <x:c r="G314" s="39"/>
      <x:c r="H314" s="39"/>
    </x:row>
    <x:row r="315">
      <x:c r="A315" s="43" t="str">
        <x:v>BS_AP</x:v>
      </x:c>
      <x:c r="B315" s="43" t="str">
        <x:v>H3B_ATTEMPT005</x:v>
      </x:c>
      <x:c r="C315" s="43" t="str">
        <x:v>BASE</x:v>
      </x:c>
      <x:c r="D315" s="43" t="str">
        <x:v>RMB_MILLION</x:v>
      </x:c>
      <x:c r="E315" s="43" t="n">
        <x:v>128229.25120737</x:v>
      </x:c>
      <x:c r="F315" s="43" t="n">
        <x:v>2030</x:v>
      </x:c>
      <x:c r="G315" s="39"/>
      <x:c r="H315" s="39"/>
    </x:row>
    <x:row r="316">
      <x:c r="A316" s="43" t="str">
        <x:v>BS_AR</x:v>
      </x:c>
      <x:c r="B316" s="43" t="str">
        <x:v>H3B_ATTEMPT005</x:v>
      </x:c>
      <x:c r="C316" s="43" t="str">
        <x:v>BASE</x:v>
      </x:c>
      <x:c r="D316" s="43" t="str">
        <x:v>RMB_MILLION</x:v>
      </x:c>
      <x:c r="E316" s="43" t="n">
        <x:v>57284.43825677</x:v>
      </x:c>
      <x:c r="F316" s="43" t="n">
        <x:v>2030</x:v>
      </x:c>
      <x:c r="G316" s="39"/>
      <x:c r="H316" s="39"/>
    </x:row>
    <x:row r="317">
      <x:c r="A317" s="43" t="str">
        <x:v>BS_CAPITAL_RESERVE</x:v>
      </x:c>
      <x:c r="B317" s="43" t="str">
        <x:v>H3B_ATTEMPT005</x:v>
      </x:c>
      <x:c r="C317" s="43" t="str">
        <x:v>BASE</x:v>
      </x:c>
      <x:c r="D317" s="43" t="str">
        <x:v>RMB_MILLION</x:v>
      </x:c>
      <x:c r="E317" s="43" t="n">
        <x:v>45350.72</x:v>
      </x:c>
      <x:c r="F317" s="43" t="n">
        <x:v>2030</x:v>
      </x:c>
      <x:c r="G317" s="39"/>
      <x:c r="H317" s="39"/>
    </x:row>
    <x:row r="318">
      <x:c r="A318" s="43" t="str">
        <x:v>BS_CASH</x:v>
      </x:c>
      <x:c r="B318" s="43" t="str">
        <x:v>H3B_ATTEMPT005</x:v>
      </x:c>
      <x:c r="C318" s="43" t="str">
        <x:v>BASE</x:v>
      </x:c>
      <x:c r="D318" s="43" t="str">
        <x:v>RMB_MILLION</x:v>
      </x:c>
      <x:c r="E318" s="43" t="n">
        <x:v>158216.20260816</x:v>
      </x:c>
      <x:c r="F318" s="43" t="n">
        <x:v>2030</x:v>
      </x:c>
      <x:c r="G318" s="39"/>
      <x:c r="H318" s="39"/>
    </x:row>
    <x:row r="319">
      <x:c r="A319" s="43" t="str">
        <x:v>BS_CASH_TAXONOMY_OTHER</x:v>
      </x:c>
      <x:c r="B319" s="43" t="str">
        <x:v>H3B_ATTEMPT005</x:v>
      </x:c>
      <x:c r="C319" s="43" t="str">
        <x:v>BASE</x:v>
      </x:c>
      <x:c r="D319" s="43" t="str">
        <x:v>RMB_MILLION</x:v>
      </x:c>
      <x:c r="E319" s="43" t="n">
        <x:v>116.87829872</x:v>
      </x:c>
      <x:c r="F319" s="43" t="n">
        <x:v>2030</x:v>
      </x:c>
      <x:c r="G319" s="39"/>
      <x:c r="H319" s="39"/>
    </x:row>
    <x:row r="320">
      <x:c r="A320" s="43" t="str">
        <x:v>BS_CIP</x:v>
      </x:c>
      <x:c r="B320" s="43" t="str">
        <x:v>H3B_ATTEMPT005</x:v>
      </x:c>
      <x:c r="C320" s="43" t="str">
        <x:v>BASE</x:v>
      </x:c>
      <x:c r="D320" s="43" t="str">
        <x:v>RMB_MILLION</x:v>
      </x:c>
      <x:c r="E320" s="43" t="n">
        <x:v>8345.57764755</x:v>
      </x:c>
      <x:c r="F320" s="43" t="n">
        <x:v>2030</x:v>
      </x:c>
      <x:c r="G320" s="39"/>
      <x:c r="H320" s="39"/>
    </x:row>
    <x:row r="321">
      <x:c r="A321" s="43" t="str">
        <x:v>BS_CONTRACT_ASSETS</x:v>
      </x:c>
      <x:c r="B321" s="43" t="str">
        <x:v>H3B_ATTEMPT005</x:v>
      </x:c>
      <x:c r="C321" s="43" t="str">
        <x:v>BASE</x:v>
      </x:c>
      <x:c r="D321" s="43" t="str">
        <x:v>RMB_MILLION</x:v>
      </x:c>
      <x:c r="E321" s="43" t="n">
        <x:v>6211.11182281</x:v>
      </x:c>
      <x:c r="F321" s="43" t="n">
        <x:v>2030</x:v>
      </x:c>
      <x:c r="G321" s="39"/>
      <x:c r="H321" s="39"/>
    </x:row>
    <x:row r="322">
      <x:c r="A322" s="43" t="str">
        <x:v>BS_CONTRACT_LIABILITIES</x:v>
      </x:c>
      <x:c r="B322" s="43" t="str">
        <x:v>H3B_ATTEMPT005</x:v>
      </x:c>
      <x:c r="C322" s="43" t="str">
        <x:v>BASE</x:v>
      </x:c>
      <x:c r="D322" s="43" t="str">
        <x:v>RMB_MILLION</x:v>
      </x:c>
      <x:c r="E322" s="43" t="n">
        <x:v>68379.77794923</x:v>
      </x:c>
      <x:c r="F322" s="43" t="n">
        <x:v>2030</x:v>
      </x:c>
      <x:c r="G322" s="39"/>
      <x:c r="H322" s="39"/>
    </x:row>
    <x:row r="323">
      <x:c r="A323" s="43" t="str">
        <x:v>BS_CURRENT_PORTION_DEBT</x:v>
      </x:c>
      <x:c r="B323" s="43" t="str">
        <x:v>H3B_ATTEMPT005</x:v>
      </x:c>
      <x:c r="C323" s="43" t="str">
        <x:v>BASE</x:v>
      </x:c>
      <x:c r="D323" s="43" t="str">
        <x:v>RMB_MILLION</x:v>
      </x:c>
      <x:c r="E323" s="43" t="n">
        <x:v>0</x:v>
      </x:c>
      <x:c r="F323" s="43" t="n">
        <x:v>2030</x:v>
      </x:c>
      <x:c r="G323" s="39"/>
      <x:c r="H323" s="39"/>
    </x:row>
    <x:row r="324">
      <x:c r="A324" s="43" t="str">
        <x:v>BS_CURRENT_PORTION_NONCURRENT_ASSETS</x:v>
      </x:c>
      <x:c r="B324" s="43" t="str">
        <x:v>H3B_ATTEMPT005</x:v>
      </x:c>
      <x:c r="C324" s="43" t="str">
        <x:v>BASE</x:v>
      </x:c>
      <x:c r="D324" s="43" t="str">
        <x:v>RMB_MILLION</x:v>
      </x:c>
      <x:c r="E324" s="43" t="n">
        <x:v>155734.55874172</x:v>
      </x:c>
      <x:c r="F324" s="43" t="n">
        <x:v>2030</x:v>
      </x:c>
      <x:c r="G324" s="39"/>
      <x:c r="H324" s="39"/>
    </x:row>
    <x:row r="325">
      <x:c r="A325" s="43" t="str">
        <x:v>BS_CURRENT_PORTION_NONCURRENT_ASSETS_FINANCE</x:v>
      </x:c>
      <x:c r="B325" s="43" t="str">
        <x:v>H3B_ATTEMPT005</x:v>
      </x:c>
      <x:c r="C325" s="43" t="str">
        <x:v>BASE</x:v>
      </x:c>
      <x:c r="D325" s="43" t="str">
        <x:v>RMB_MILLION</x:v>
      </x:c>
      <x:c r="E325" s="43" t="n">
        <x:v>372.03074172</x:v>
      </x:c>
      <x:c r="F325" s="43" t="n">
        <x:v>2030</x:v>
      </x:c>
      <x:c r="G325" s="39"/>
      <x:c r="H325" s="39"/>
    </x:row>
    <x:row r="326">
      <x:c r="A326" s="43" t="str">
        <x:v>BS_CURRENT_PORTION_NONCURRENT_ASSETS_TREASURY</x:v>
      </x:c>
      <x:c r="B326" s="43" t="str">
        <x:v>H3B_ATTEMPT005</x:v>
      </x:c>
      <x:c r="C326" s="43" t="str">
        <x:v>BASE</x:v>
      </x:c>
      <x:c r="D326" s="43" t="str">
        <x:v>RMB_MILLION</x:v>
      </x:c>
      <x:c r="E326" s="43" t="n">
        <x:v>155362.528</x:v>
      </x:c>
      <x:c r="F326" s="43" t="n">
        <x:v>2030</x:v>
      </x:c>
      <x:c r="G326" s="39"/>
      <x:c r="H326" s="39"/>
    </x:row>
    <x:row r="327">
      <x:c r="A327" s="43" t="str">
        <x:v>BS_CUSTOMER_DEPOSITS</x:v>
      </x:c>
      <x:c r="B327" s="43" t="str">
        <x:v>H3B_ATTEMPT005</x:v>
      </x:c>
      <x:c r="C327" s="43" t="str">
        <x:v>BASE</x:v>
      </x:c>
      <x:c r="D327" s="43" t="str">
        <x:v>RMB_MILLION</x:v>
      </x:c>
      <x:c r="E327" s="43" t="n">
        <x:v>195.14396425</x:v>
      </x:c>
      <x:c r="F327" s="43" t="n">
        <x:v>2030</x:v>
      </x:c>
      <x:c r="G327" s="39"/>
      <x:c r="H327" s="39"/>
    </x:row>
    <x:row r="328">
      <x:c r="A328" s="43" t="str">
        <x:v>BS_DERIVATIVE_FINANCIAL_ASSETS</x:v>
      </x:c>
      <x:c r="B328" s="43" t="str">
        <x:v>H3B_ATTEMPT005</x:v>
      </x:c>
      <x:c r="C328" s="43" t="str">
        <x:v>BASE</x:v>
      </x:c>
      <x:c r="D328" s="43" t="str">
        <x:v>RMB_MILLION</x:v>
      </x:c>
      <x:c r="E328" s="43" t="n">
        <x:v>3234.92700339</x:v>
      </x:c>
      <x:c r="F328" s="43" t="n">
        <x:v>2030</x:v>
      </x:c>
      <x:c r="G328" s="39"/>
      <x:c r="H328" s="39"/>
    </x:row>
    <x:row r="329">
      <x:c r="A329" s="43" t="str">
        <x:v>BS_DERIVATIVE_LIABILITIES</x:v>
      </x:c>
      <x:c r="B329" s="43" t="str">
        <x:v>H3B_ATTEMPT005</x:v>
      </x:c>
      <x:c r="C329" s="43" t="str">
        <x:v>BASE</x:v>
      </x:c>
      <x:c r="D329" s="43" t="str">
        <x:v>RMB_MILLION</x:v>
      </x:c>
      <x:c r="E329" s="43" t="n">
        <x:v>1238.23363416</x:v>
      </x:c>
      <x:c r="F329" s="43" t="n">
        <x:v>2030</x:v>
      </x:c>
      <x:c r="G329" s="39"/>
      <x:c r="H329" s="39"/>
    </x:row>
    <x:row r="330">
      <x:c r="A330" s="43" t="str">
        <x:v>BS_EMPLOYEE_COMP</x:v>
      </x:c>
      <x:c r="B330" s="43" t="str">
        <x:v>H3B_ATTEMPT005</x:v>
      </x:c>
      <x:c r="C330" s="43" t="str">
        <x:v>BASE</x:v>
      </x:c>
      <x:c r="D330" s="43" t="str">
        <x:v>RMB_MILLION</x:v>
      </x:c>
      <x:c r="E330" s="43" t="n">
        <x:v>14035.1232144</x:v>
      </x:c>
      <x:c r="F330" s="43" t="n">
        <x:v>2030</x:v>
      </x:c>
      <x:c r="G330" s="39"/>
      <x:c r="H330" s="39"/>
    </x:row>
    <x:row r="331">
      <x:c r="A331" s="43" t="str">
        <x:v>BS_GOODWILL</x:v>
      </x:c>
      <x:c r="B331" s="43" t="str">
        <x:v>H3B_ATTEMPT005</x:v>
      </x:c>
      <x:c r="C331" s="43" t="str">
        <x:v>BASE</x:v>
      </x:c>
      <x:c r="D331" s="43" t="str">
        <x:v>RMB_MILLION</x:v>
      </x:c>
      <x:c r="E331" s="43" t="n">
        <x:v>49847.28408106</x:v>
      </x:c>
      <x:c r="F331" s="43" t="n">
        <x:v>2030</x:v>
      </x:c>
      <x:c r="G331" s="39"/>
      <x:c r="H331" s="39"/>
    </x:row>
    <x:row r="332">
      <x:c r="A332" s="43" t="str">
        <x:v>BS_INCOME_TAX_PAYABLE</x:v>
      </x:c>
      <x:c r="B332" s="43" t="str">
        <x:v>H3B_ATTEMPT005</x:v>
      </x:c>
      <x:c r="C332" s="43" t="str">
        <x:v>BASE</x:v>
      </x:c>
      <x:c r="D332" s="43" t="str">
        <x:v>RMB_MILLION</x:v>
      </x:c>
      <x:c r="E332" s="43" t="n">
        <x:v>6526.46190806</x:v>
      </x:c>
      <x:c r="F332" s="43" t="n">
        <x:v>2030</x:v>
      </x:c>
      <x:c r="G332" s="39"/>
      <x:c r="H332" s="39"/>
    </x:row>
    <x:row r="333">
      <x:c r="A333" s="43" t="str">
        <x:v>BS_INTANGIBLES</x:v>
      </x:c>
      <x:c r="B333" s="43" t="str">
        <x:v>H3B_ATTEMPT005</x:v>
      </x:c>
      <x:c r="C333" s="43" t="str">
        <x:v>BASE</x:v>
      </x:c>
      <x:c r="D333" s="43" t="str">
        <x:v>RMB_MILLION</x:v>
      </x:c>
      <x:c r="E333" s="43" t="n">
        <x:v>32698.07883083</x:v>
      </x:c>
      <x:c r="F333" s="43" t="n">
        <x:v>2030</x:v>
      </x:c>
      <x:c r="G333" s="39"/>
      <x:c r="H333" s="39"/>
    </x:row>
    <x:row r="334">
      <x:c r="A334" s="43" t="str">
        <x:v>BS_INVENTORY</x:v>
      </x:c>
      <x:c r="B334" s="43" t="str">
        <x:v>H3B_ATTEMPT005</x:v>
      </x:c>
      <x:c r="C334" s="43" t="str">
        <x:v>BASE</x:v>
      </x:c>
      <x:c r="D334" s="43" t="str">
        <x:v>RMB_MILLION</x:v>
      </x:c>
      <x:c r="E334" s="43" t="n">
        <x:v>85123.07970898</x:v>
      </x:c>
      <x:c r="F334" s="43" t="n">
        <x:v>2030</x:v>
      </x:c>
      <x:c r="G334" s="39"/>
      <x:c r="H334" s="39"/>
    </x:row>
    <x:row r="335">
      <x:c r="A335" s="43" t="str">
        <x:v>BS_LOANS_ADVANCES_CURRENT</x:v>
      </x:c>
      <x:c r="B335" s="43" t="str">
        <x:v>H3B_ATTEMPT005</x:v>
      </x:c>
      <x:c r="C335" s="43" t="str">
        <x:v>BASE</x:v>
      </x:c>
      <x:c r="D335" s="43" t="str">
        <x:v>RMB_MILLION</x:v>
      </x:c>
      <x:c r="E335" s="43" t="n">
        <x:v>17139.98285866</x:v>
      </x:c>
      <x:c r="F335" s="43" t="n">
        <x:v>2030</x:v>
      </x:c>
      <x:c r="G335" s="39"/>
      <x:c r="H335" s="39"/>
    </x:row>
    <x:row r="336">
      <x:c r="A336" s="43" t="str">
        <x:v>BS_LONG_TERM_BORROWINGS</x:v>
      </x:c>
      <x:c r="B336" s="43" t="str">
        <x:v>H3B_ATTEMPT005</x:v>
      </x:c>
      <x:c r="C336" s="43" t="str">
        <x:v>BASE</x:v>
      </x:c>
      <x:c r="D336" s="43" t="str">
        <x:v>RMB_MILLION</x:v>
      </x:c>
      <x:c r="E336" s="43" t="n">
        <x:v>26472.29437509</x:v>
      </x:c>
      <x:c r="F336" s="43" t="n">
        <x:v>2030</x:v>
      </x:c>
      <x:c r="G336" s="39"/>
      <x:c r="H336" s="39"/>
    </x:row>
    <x:row r="337">
      <x:c r="A337" s="43" t="str">
        <x:v>BS_LONG_TERM_INVESTMENTS</x:v>
      </x:c>
      <x:c r="B337" s="43" t="str">
        <x:v>H3B_ATTEMPT005</x:v>
      </x:c>
      <x:c r="C337" s="43" t="str">
        <x:v>BASE</x:v>
      </x:c>
      <x:c r="D337" s="43" t="str">
        <x:v>RMB_MILLION</x:v>
      </x:c>
      <x:c r="E337" s="43" t="n">
        <x:v>6948.18444293</x:v>
      </x:c>
      <x:c r="F337" s="43" t="n">
        <x:v>2030</x:v>
      </x:c>
      <x:c r="G337" s="39"/>
      <x:c r="H337" s="39"/>
    </x:row>
    <x:row r="338">
      <x:c r="A338" s="43" t="str">
        <x:v>BS_NCI</x:v>
      </x:c>
      <x:c r="B338" s="43" t="str">
        <x:v>H3B_ATTEMPT005</x:v>
      </x:c>
      <x:c r="C338" s="43" t="str">
        <x:v>BASE</x:v>
      </x:c>
      <x:c r="D338" s="43" t="str">
        <x:v>RMB_MILLION</x:v>
      </x:c>
      <x:c r="E338" s="43" t="n">
        <x:v>16393.54389495</x:v>
      </x:c>
      <x:c r="F338" s="43" t="n">
        <x:v>2030</x:v>
      </x:c>
      <x:c r="G338" s="39"/>
      <x:c r="H338" s="39"/>
    </x:row>
    <x:row r="339">
      <x:c r="A339" s="43" t="str">
        <x:v>BS_NOTES_PAYABLE</x:v>
      </x:c>
      <x:c r="B339" s="43" t="str">
        <x:v>H3B_ATTEMPT005</x:v>
      </x:c>
      <x:c r="C339" s="43" t="str">
        <x:v>BASE</x:v>
      </x:c>
      <x:c r="D339" s="43" t="str">
        <x:v>RMB_MILLION</x:v>
      </x:c>
      <x:c r="E339" s="43" t="n">
        <x:v>39465.15081898</x:v>
      </x:c>
      <x:c r="F339" s="43" t="n">
        <x:v>2030</x:v>
      </x:c>
      <x:c r="G339" s="39"/>
      <x:c r="H339" s="39"/>
    </x:row>
    <x:row r="340">
      <x:c r="A340" s="43" t="str">
        <x:v>BS_NOTES_RECEIVABLE</x:v>
      </x:c>
      <x:c r="B340" s="43" t="str">
        <x:v>H3B_ATTEMPT005</x:v>
      </x:c>
      <x:c r="C340" s="43" t="str">
        <x:v>BASE</x:v>
      </x:c>
      <x:c r="D340" s="43" t="str">
        <x:v>RMB_MILLION</x:v>
      </x:c>
      <x:c r="E340" s="43" t="n">
        <x:v>7634.58452998</x:v>
      </x:c>
      <x:c r="F340" s="43" t="n">
        <x:v>2030</x:v>
      </x:c>
      <x:c r="G340" s="39"/>
      <x:c r="H340" s="39"/>
    </x:row>
    <x:row r="341">
      <x:c r="A341" s="43" t="str">
        <x:v>BS_OTHER_CURRENT_ASSETS</x:v>
      </x:c>
      <x:c r="B341" s="43" t="str">
        <x:v>H3B_ATTEMPT005</x:v>
      </x:c>
      <x:c r="C341" s="43" t="str">
        <x:v>BASE</x:v>
      </x:c>
      <x:c r="D341" s="43" t="str">
        <x:v>RMB_MILLION</x:v>
      </x:c>
      <x:c r="E341" s="43" t="n">
        <x:v>36275.90995991</x:v>
      </x:c>
      <x:c r="F341" s="43" t="n">
        <x:v>2030</x:v>
      </x:c>
      <x:c r="G341" s="39"/>
      <x:c r="H341" s="39"/>
    </x:row>
    <x:row r="342">
      <x:c r="A342" s="43" t="str">
        <x:v>BS_OTHER_CURRENT_ASSETS_HEDGE</x:v>
      </x:c>
      <x:c r="B342" s="43" t="str">
        <x:v>H3B_ATTEMPT005</x:v>
      </x:c>
      <x:c r="C342" s="43" t="str">
        <x:v>BASE</x:v>
      </x:c>
      <x:c r="D342" s="43" t="str">
        <x:v>RMB_MILLION</x:v>
      </x:c>
      <x:c r="E342" s="43" t="n">
        <x:v>4658.36187786</x:v>
      </x:c>
      <x:c r="F342" s="43" t="n">
        <x:v>2030</x:v>
      </x:c>
      <x:c r="G342" s="39"/>
      <x:c r="H342" s="39"/>
    </x:row>
    <x:row r="343">
      <x:c r="A343" s="43" t="str">
        <x:v>BS_OTHER_CURRENT_ASSETS_OPERATING</x:v>
      </x:c>
      <x:c r="B343" s="43" t="str">
        <x:v>H3B_ATTEMPT005</x:v>
      </x:c>
      <x:c r="C343" s="43" t="str">
        <x:v>BASE</x:v>
      </x:c>
      <x:c r="D343" s="43" t="str">
        <x:v>RMB_MILLION</x:v>
      </x:c>
      <x:c r="E343" s="43" t="n">
        <x:v>30190.41408205</x:v>
      </x:c>
      <x:c r="F343" s="43" t="n">
        <x:v>2030</x:v>
      </x:c>
      <x:c r="G343" s="39"/>
      <x:c r="H343" s="39"/>
    </x:row>
    <x:row r="344">
      <x:c r="A344" s="43" t="str">
        <x:v>BS_OTHER_CURRENT_ASSETS_TREASURY</x:v>
      </x:c>
      <x:c r="B344" s="43" t="str">
        <x:v>H3B_ATTEMPT005</x:v>
      </x:c>
      <x:c r="C344" s="43" t="str">
        <x:v>BASE</x:v>
      </x:c>
      <x:c r="D344" s="43" t="str">
        <x:v>RMB_MILLION</x:v>
      </x:c>
      <x:c r="E344" s="43" t="n">
        <x:v>1427.134</x:v>
      </x:c>
      <x:c r="F344" s="43" t="n">
        <x:v>2030</x:v>
      </x:c>
      <x:c r="G344" s="39"/>
      <x:c r="H344" s="39"/>
    </x:row>
    <x:row r="345">
      <x:c r="A345" s="43" t="str">
        <x:v>BS_OTHER_CURRENT_LIABILITIES</x:v>
      </x:c>
      <x:c r="B345" s="43" t="str">
        <x:v>H3B_ATTEMPT005</x:v>
      </x:c>
      <x:c r="C345" s="43" t="str">
        <x:v>BASE</x:v>
      </x:c>
      <x:c r="D345" s="43" t="str">
        <x:v>RMB_MILLION</x:v>
      </x:c>
      <x:c r="E345" s="43" t="n">
        <x:v>134651.54563706</x:v>
      </x:c>
      <x:c r="F345" s="43" t="n">
        <x:v>2030</x:v>
      </x:c>
      <x:c r="G345" s="39"/>
      <x:c r="H345" s="39"/>
    </x:row>
    <x:row r="346">
      <x:c r="A346" s="43" t="str">
        <x:v>BS_OTHER_CURRENT_LIABILITIES_HEDGE</x:v>
      </x:c>
      <x:c r="B346" s="43" t="str">
        <x:v>H3B_ATTEMPT005</x:v>
      </x:c>
      <x:c r="C346" s="43" t="str">
        <x:v>BASE</x:v>
      </x:c>
      <x:c r="D346" s="43" t="str">
        <x:v>RMB_MILLION</x:v>
      </x:c>
      <x:c r="E346" s="43" t="n">
        <x:v>31.2556286</x:v>
      </x:c>
      <x:c r="F346" s="43" t="n">
        <x:v>2030</x:v>
      </x:c>
      <x:c r="G346" s="39"/>
      <x:c r="H346" s="39"/>
    </x:row>
    <x:row r="347">
      <x:c r="A347" s="43" t="str">
        <x:v>BS_OTHER_CURRENT_LIABILITIES_OPERATING</x:v>
      </x:c>
      <x:c r="B347" s="43" t="str">
        <x:v>H3B_ATTEMPT005</x:v>
      </x:c>
      <x:c r="C347" s="43" t="str">
        <x:v>BASE</x:v>
      </x:c>
      <x:c r="D347" s="43" t="str">
        <x:v>RMB_MILLION</x:v>
      </x:c>
      <x:c r="E347" s="43" t="n">
        <x:v>134620.29000846</x:v>
      </x:c>
      <x:c r="F347" s="43" t="n">
        <x:v>2030</x:v>
      </x:c>
      <x:c r="G347" s="39"/>
      <x:c r="H347" s="39"/>
    </x:row>
    <x:row r="348">
      <x:c r="A348" s="43" t="str">
        <x:v>BS_OTHER_NONCURRENT_FINANCIAL_ASSETS</x:v>
      </x:c>
      <x:c r="B348" s="43" t="str">
        <x:v>H3B_ATTEMPT005</x:v>
      </x:c>
      <x:c r="C348" s="43" t="str">
        <x:v>BASE</x:v>
      </x:c>
      <x:c r="D348" s="43" t="str">
        <x:v>RMB_MILLION</x:v>
      </x:c>
      <x:c r="E348" s="43" t="n">
        <x:v>6964.25606388</x:v>
      </x:c>
      <x:c r="F348" s="43" t="n">
        <x:v>2030</x:v>
      </x:c>
      <x:c r="G348" s="39"/>
      <x:c r="H348" s="39"/>
    </x:row>
    <x:row r="349">
      <x:c r="A349" s="43" t="str">
        <x:v>BS_OTHER_PAYABLES</x:v>
      </x:c>
      <x:c r="B349" s="43" t="str">
        <x:v>H3B_ATTEMPT005</x:v>
      </x:c>
      <x:c r="C349" s="43" t="str">
        <x:v>BASE</x:v>
      </x:c>
      <x:c r="D349" s="43" t="str">
        <x:v>RMB_MILLION</x:v>
      </x:c>
      <x:c r="E349" s="43" t="n">
        <x:v>7018.65802788</x:v>
      </x:c>
      <x:c r="F349" s="43" t="n">
        <x:v>2030</x:v>
      </x:c>
      <x:c r="G349" s="39"/>
      <x:c r="H349" s="39"/>
    </x:row>
    <x:row r="350">
      <x:c r="A350" s="43" t="str">
        <x:v>BS_OTHER_RECEIVABLES</x:v>
      </x:c>
      <x:c r="B350" s="43" t="str">
        <x:v>H3B_ATTEMPT005</x:v>
      </x:c>
      <x:c r="C350" s="43" t="str">
        <x:v>BASE</x:v>
      </x:c>
      <x:c r="D350" s="43" t="str">
        <x:v>RMB_MILLION</x:v>
      </x:c>
      <x:c r="E350" s="43" t="n">
        <x:v>4642.64093691</x:v>
      </x:c>
      <x:c r="F350" s="43" t="n">
        <x:v>2030</x:v>
      </x:c>
      <x:c r="G350" s="39"/>
      <x:c r="H350" s="39"/>
    </x:row>
    <x:row r="351">
      <x:c r="A351" s="43" t="str">
        <x:v>BS_OTHER_RESERVES</x:v>
      </x:c>
      <x:c r="B351" s="43" t="str">
        <x:v>H3B_ATTEMPT005</x:v>
      </x:c>
      <x:c r="C351" s="43" t="str">
        <x:v>BASE</x:v>
      </x:c>
      <x:c r="D351" s="43" t="str">
        <x:v>RMB_MILLION</x:v>
      </x:c>
      <x:c r="E351" s="43" t="n">
        <x:v>11196.537</x:v>
      </x:c>
      <x:c r="F351" s="43" t="n">
        <x:v>2030</x:v>
      </x:c>
      <x:c r="G351" s="39"/>
      <x:c r="H351" s="39"/>
    </x:row>
    <x:row r="352">
      <x:c r="A352" s="43" t="str">
        <x:v>BS_OTHER_TAXES_PAYABLE</x:v>
      </x:c>
      <x:c r="B352" s="43" t="str">
        <x:v>H3B_ATTEMPT005</x:v>
      </x:c>
      <x:c r="C352" s="43" t="str">
        <x:v>BASE</x:v>
      </x:c>
      <x:c r="D352" s="43" t="str">
        <x:v>RMB_MILLION</x:v>
      </x:c>
      <x:c r="E352" s="43" t="n">
        <x:v>3898.03669977</x:v>
      </x:c>
      <x:c r="F352" s="43" t="n">
        <x:v>2030</x:v>
      </x:c>
      <x:c r="G352" s="39"/>
      <x:c r="H352" s="39"/>
    </x:row>
    <x:row r="353">
      <x:c r="A353" s="43" t="str">
        <x:v>BS_PARENT_EQUITY</x:v>
      </x:c>
      <x:c r="B353" s="43" t="str">
        <x:v>H3B_ATTEMPT005</x:v>
      </x:c>
      <x:c r="C353" s="43" t="str">
        <x:v>BASE</x:v>
      </x:c>
      <x:c r="D353" s="43" t="str">
        <x:v>RMB_MILLION</x:v>
      </x:c>
      <x:c r="E353" s="43" t="n">
        <x:v>297985.14384957</x:v>
      </x:c>
      <x:c r="F353" s="43" t="n">
        <x:v>2030</x:v>
      </x:c>
      <x:c r="G353" s="39"/>
      <x:c r="H353" s="39"/>
    </x:row>
    <x:row r="354">
      <x:c r="A354" s="43" t="str">
        <x:v>BS_PPE</x:v>
      </x:c>
      <x:c r="B354" s="43" t="str">
        <x:v>H3B_ATTEMPT005</x:v>
      </x:c>
      <x:c r="C354" s="43" t="str">
        <x:v>BASE</x:v>
      </x:c>
      <x:c r="D354" s="43" t="str">
        <x:v>RMB_MILLION</x:v>
      </x:c>
      <x:c r="E354" s="43" t="n">
        <x:v>55292.03077955</x:v>
      </x:c>
      <x:c r="F354" s="43" t="n">
        <x:v>2030</x:v>
      </x:c>
      <x:c r="G354" s="39"/>
      <x:c r="H354" s="39"/>
    </x:row>
    <x:row r="355">
      <x:c r="A355" s="43" t="str">
        <x:v>BS_PREPAYMENTS</x:v>
      </x:c>
      <x:c r="B355" s="43" t="str">
        <x:v>H3B_ATTEMPT005</x:v>
      </x:c>
      <x:c r="C355" s="43" t="str">
        <x:v>BASE</x:v>
      </x:c>
      <x:c r="D355" s="43" t="str">
        <x:v>RMB_MILLION</x:v>
      </x:c>
      <x:c r="E355" s="43" t="n">
        <x:v>4346.81979913</x:v>
      </x:c>
      <x:c r="F355" s="43" t="n">
        <x:v>2030</x:v>
      </x:c>
      <x:c r="G355" s="39"/>
      <x:c r="H355" s="39"/>
    </x:row>
    <x:row r="356">
      <x:c r="A356" s="43" t="str">
        <x:v>BS_RECEIVABLES_FINANCING</x:v>
      </x:c>
      <x:c r="B356" s="43" t="str">
        <x:v>H3B_ATTEMPT005</x:v>
      </x:c>
      <x:c r="C356" s="43" t="str">
        <x:v>BASE</x:v>
      </x:c>
      <x:c r="D356" s="43" t="str">
        <x:v>RMB_MILLION</x:v>
      </x:c>
      <x:c r="E356" s="43" t="n">
        <x:v>21732.47509984</x:v>
      </x:c>
      <x:c r="F356" s="43" t="n">
        <x:v>2030</x:v>
      </x:c>
      <x:c r="G356" s="39"/>
      <x:c r="H356" s="39"/>
    </x:row>
    <x:row r="357">
      <x:c r="A357" s="43" t="str">
        <x:v>BS_RESTRICTED_CASH</x:v>
      </x:c>
      <x:c r="B357" s="43" t="str">
        <x:v>H3B_ATTEMPT005</x:v>
      </x:c>
      <x:c r="C357" s="43" t="str">
        <x:v>BASE</x:v>
      </x:c>
      <x:c r="D357" s="43" t="str">
        <x:v>RMB_MILLION</x:v>
      </x:c>
      <x:c r="E357" s="43" t="n">
        <x:v>6861.60722476</x:v>
      </x:c>
      <x:c r="F357" s="43" t="n">
        <x:v>2030</x:v>
      </x:c>
      <x:c r="G357" s="39"/>
      <x:c r="H357" s="39"/>
    </x:row>
    <x:row r="358">
      <x:c r="A358" s="43" t="str">
        <x:v>BS_RETAINED_EARNINGS</x:v>
      </x:c>
      <x:c r="B358" s="43" t="str">
        <x:v>H3B_ATTEMPT005</x:v>
      </x:c>
      <x:c r="C358" s="43" t="str">
        <x:v>BASE</x:v>
      </x:c>
      <x:c r="D358" s="43" t="str">
        <x:v>RMB_MILLION</x:v>
      </x:c>
      <x:c r="E358" s="43" t="n">
        <x:v>241991.85884957</x:v>
      </x:c>
      <x:c r="F358" s="43" t="n">
        <x:v>2030</x:v>
      </x:c>
      <x:c r="G358" s="39"/>
      <x:c r="H358" s="39"/>
    </x:row>
    <x:row r="359">
      <x:c r="A359" s="43" t="str">
        <x:v>BS_SHARE_CAPITAL</x:v>
      </x:c>
      <x:c r="B359" s="43" t="str">
        <x:v>H3B_ATTEMPT005</x:v>
      </x:c>
      <x:c r="C359" s="43" t="str">
        <x:v>BASE</x:v>
      </x:c>
      <x:c r="D359" s="43" t="str">
        <x:v>RMB_MILLION</x:v>
      </x:c>
      <x:c r="E359" s="43" t="n">
        <x:v>7597.145</x:v>
      </x:c>
      <x:c r="F359" s="43" t="n">
        <x:v>2030</x:v>
      </x:c>
      <x:c r="G359" s="39"/>
      <x:c r="H359" s="39"/>
    </x:row>
    <x:row r="360">
      <x:c r="A360" s="43" t="str">
        <x:v>BS_SHORT_TERM_BORROWING</x:v>
      </x:c>
      <x:c r="B360" s="43" t="str">
        <x:v>H3B_ATTEMPT005</x:v>
      </x:c>
      <x:c r="C360" s="43" t="str">
        <x:v>BASE</x:v>
      </x:c>
      <x:c r="D360" s="43" t="str">
        <x:v>RMB_MILLION</x:v>
      </x:c>
      <x:c r="E360" s="43" t="n">
        <x:v>63885.67545848</x:v>
      </x:c>
      <x:c r="F360" s="43" t="n">
        <x:v>2030</x:v>
      </x:c>
      <x:c r="G360" s="39"/>
      <x:c r="H360" s="39"/>
    </x:row>
    <x:row r="361">
      <x:c r="A361" s="43" t="str">
        <x:v>BS_TAXES_PAYABLE</x:v>
      </x:c>
      <x:c r="B361" s="43" t="str">
        <x:v>H3B_ATTEMPT005</x:v>
      </x:c>
      <x:c r="C361" s="43" t="str">
        <x:v>BASE</x:v>
      </x:c>
      <x:c r="D361" s="43" t="str">
        <x:v>RMB_MILLION</x:v>
      </x:c>
      <x:c r="E361" s="43" t="n">
        <x:v>10424.49860783</x:v>
      </x:c>
      <x:c r="F361" s="43" t="n">
        <x:v>2030</x:v>
      </x:c>
      <x:c r="G361" s="39"/>
      <x:c r="H361" s="39"/>
    </x:row>
    <x:row r="362">
      <x:c r="A362" s="43" t="str">
        <x:v>BS_TERM_DEPOSITS</x:v>
      </x:c>
      <x:c r="B362" s="43" t="str">
        <x:v>H3B_ATTEMPT005</x:v>
      </x:c>
      <x:c r="C362" s="43" t="str">
        <x:v>BASE</x:v>
      </x:c>
      <x:c r="D362" s="43" t="str">
        <x:v>RMB_MILLION</x:v>
      </x:c>
      <x:c r="E362" s="43" t="n">
        <x:v>17377.7395363</x:v>
      </x:c>
      <x:c r="F362" s="43" t="n">
        <x:v>2030</x:v>
      </x:c>
      <x:c r="G362" s="39"/>
      <x:c r="H362" s="39"/>
    </x:row>
    <x:row r="363">
      <x:c r="A363" s="43" t="str">
        <x:v>BS_TOTAL_ASSETS</x:v>
      </x:c>
      <x:c r="B363" s="43" t="str">
        <x:v>H3B_ATTEMPT005</x:v>
      </x:c>
      <x:c r="C363" s="43" t="str">
        <x:v>BASE</x:v>
      </x:c>
      <x:c r="D363" s="43" t="str">
        <x:v>RMB_MILLION</x:v>
      </x:c>
      <x:c r="E363" s="43" t="n">
        <x:v>833156.55143927</x:v>
      </x:c>
      <x:c r="F363" s="43" t="n">
        <x:v>2030</x:v>
      </x:c>
      <x:c r="G363" s="39"/>
      <x:c r="H363" s="39"/>
    </x:row>
    <x:row r="364">
      <x:c r="A364" s="43" t="str">
        <x:v>BS_TOTAL_CURRENT_ASSETS</x:v>
      </x:c>
      <x:c r="B364" s="43" t="str">
        <x:v>H3B_ATTEMPT005</x:v>
      </x:c>
      <x:c r="C364" s="43" t="str">
        <x:v>BASE</x:v>
      </x:c>
      <x:c r="D364" s="43" t="str">
        <x:v>RMB_MILLION</x:v>
      </x:c>
      <x:c r="E364" s="43" t="n">
        <x:v>558610.89829995</x:v>
      </x:c>
      <x:c r="F364" s="43" t="n">
        <x:v>2030</x:v>
      </x:c>
      <x:c r="G364" s="39"/>
      <x:c r="H364" s="39"/>
    </x:row>
    <x:row r="365">
      <x:c r="A365" s="43" t="str">
        <x:v>BS_TOTAL_CURRENT_ASSETS_OTHER_IMMATERIAL_COMPONENTS</x:v>
      </x:c>
      <x:c r="B365" s="43" t="str">
        <x:v>H3B_ATTEMPT005</x:v>
      </x:c>
      <x:c r="C365" s="43" t="str">
        <x:v>BASE</x:v>
      </x:c>
      <x:c r="D365" s="43" t="str">
        <x:v>RMB_MILLION</x:v>
      </x:c>
      <x:c r="E365" s="43" t="n">
        <x:v>0</x:v>
      </x:c>
      <x:c r="F365" s="43" t="n">
        <x:v>2030</x:v>
      </x:c>
      <x:c r="G365" s="39"/>
      <x:c r="H365" s="39"/>
    </x:row>
    <x:row r="366">
      <x:c r="A366" s="43" t="str">
        <x:v>BS_TOTAL_CURRENT_LIABILITIES</x:v>
      </x:c>
      <x:c r="B366" s="43" t="str">
        <x:v>H3B_ATTEMPT005</x:v>
      </x:c>
      <x:c r="C366" s="43" t="str">
        <x:v>BASE</x:v>
      </x:c>
      <x:c r="D366" s="43" t="str">
        <x:v>RMB_MILLION</x:v>
      </x:c>
      <x:c r="E366" s="43" t="n">
        <x:v>468551.00055948</x:v>
      </x:c>
      <x:c r="F366" s="43" t="n">
        <x:v>2030</x:v>
      </x:c>
      <x:c r="G366" s="39"/>
      <x:c r="H366" s="39"/>
    </x:row>
    <x:row r="367">
      <x:c r="A367" s="43" t="str">
        <x:v>BS_TOTAL_CURRENT_LIABILITIES_OTHER_IMMATERIAL_COMPONENTS</x:v>
      </x:c>
      <x:c r="B367" s="43" t="str">
        <x:v>H3B_ATTEMPT005</x:v>
      </x:c>
      <x:c r="C367" s="43" t="str">
        <x:v>BASE</x:v>
      </x:c>
      <x:c r="D367" s="43" t="str">
        <x:v>RMB_MILLION</x:v>
      </x:c>
      <x:c r="E367" s="43" t="n">
        <x:v>0</x:v>
      </x:c>
      <x:c r="F367" s="43" t="n">
        <x:v>2030</x:v>
      </x:c>
      <x:c r="G367" s="39"/>
      <x:c r="H367" s="39"/>
    </x:row>
    <x:row r="368">
      <x:c r="A368" s="43" t="str">
        <x:v>BS_TOTAL_EQUITY</x:v>
      </x:c>
      <x:c r="B368" s="43" t="str">
        <x:v>H3B_ATTEMPT005</x:v>
      </x:c>
      <x:c r="C368" s="43" t="str">
        <x:v>BASE</x:v>
      </x:c>
      <x:c r="D368" s="43" t="str">
        <x:v>RMB_MILLION</x:v>
      </x:c>
      <x:c r="E368" s="43" t="n">
        <x:v>314378.68774452</x:v>
      </x:c>
      <x:c r="F368" s="43" t="n">
        <x:v>2030</x:v>
      </x:c>
      <x:c r="G368" s="39"/>
      <x:c r="H368" s="39"/>
    </x:row>
    <x:row r="369">
      <x:c r="A369" s="43" t="str">
        <x:v>BS_TOTAL_LIABILITIES</x:v>
      </x:c>
      <x:c r="B369" s="43" t="str">
        <x:v>H3B_ATTEMPT005</x:v>
      </x:c>
      <x:c r="C369" s="43" t="str">
        <x:v>BASE</x:v>
      </x:c>
      <x:c r="D369" s="43" t="str">
        <x:v>RMB_MILLION</x:v>
      </x:c>
      <x:c r="E369" s="43" t="n">
        <x:v>518777.86369475</x:v>
      </x:c>
      <x:c r="F369" s="43" t="n">
        <x:v>2030</x:v>
      </x:c>
      <x:c r="G369" s="39"/>
      <x:c r="H369" s="39"/>
    </x:row>
    <x:row r="370">
      <x:c r="A370" s="43" t="str">
        <x:v>BS_TOTAL_NONCURRENT_ASSETS</x:v>
      </x:c>
      <x:c r="B370" s="43" t="str">
        <x:v>H3B_ATTEMPT005</x:v>
      </x:c>
      <x:c r="C370" s="43" t="str">
        <x:v>BASE</x:v>
      </x:c>
      <x:c r="D370" s="43" t="str">
        <x:v>RMB_MILLION</x:v>
      </x:c>
      <x:c r="E370" s="43" t="n">
        <x:v>274545.65313932</x:v>
      </x:c>
      <x:c r="F370" s="43" t="n">
        <x:v>2030</x:v>
      </x:c>
      <x:c r="G370" s="39"/>
      <x:c r="H370" s="39"/>
    </x:row>
    <x:row r="371">
      <x:c r="A371" s="43" t="str">
        <x:v>BS_TOTAL_NONCURRENT_ASSETS_OTHER_IMMATERIAL_COMPONENTS</x:v>
      </x:c>
      <x:c r="B371" s="43" t="str">
        <x:v>H3B_ATTEMPT005</x:v>
      </x:c>
      <x:c r="C371" s="43" t="str">
        <x:v>BASE</x:v>
      </x:c>
      <x:c r="D371" s="43" t="str">
        <x:v>RMB_MILLION</x:v>
      </x:c>
      <x:c r="E371" s="43" t="n">
        <x:v>114450.24129352</x:v>
      </x:c>
      <x:c r="F371" s="43" t="n">
        <x:v>2030</x:v>
      </x:c>
      <x:c r="G371" s="39"/>
      <x:c r="H371" s="39"/>
    </x:row>
    <x:row r="372">
      <x:c r="A372" s="43" t="str">
        <x:v>BS_TOTAL_NONCURRENT_LIABILITIES</x:v>
      </x:c>
      <x:c r="B372" s="43" t="str">
        <x:v>H3B_ATTEMPT005</x:v>
      </x:c>
      <x:c r="C372" s="43" t="str">
        <x:v>BASE</x:v>
      </x:c>
      <x:c r="D372" s="43" t="str">
        <x:v>RMB_MILLION</x:v>
      </x:c>
      <x:c r="E372" s="43" t="n">
        <x:v>50226.86313527</x:v>
      </x:c>
      <x:c r="F372" s="43" t="n">
        <x:v>2030</x:v>
      </x:c>
      <x:c r="G372" s="39"/>
      <x:c r="H372" s="39"/>
    </x:row>
    <x:row r="373">
      <x:c r="A373" s="43" t="str">
        <x:v>BS_TOTAL_NONCURRENT_LIABILITIES_OTHER_IMMATERIAL_COMPONENTS</x:v>
      </x:c>
      <x:c r="B373" s="43" t="str">
        <x:v>H3B_ATTEMPT005</x:v>
      </x:c>
      <x:c r="C373" s="43" t="str">
        <x:v>BASE</x:v>
      </x:c>
      <x:c r="D373" s="43" t="str">
        <x:v>RMB_MILLION</x:v>
      </x:c>
      <x:c r="E373" s="43" t="n">
        <x:v>23754.56876018</x:v>
      </x:c>
      <x:c r="F373" s="43" t="n">
        <x:v>2030</x:v>
      </x:c>
      <x:c r="G373" s="39"/>
      <x:c r="H373" s="39"/>
    </x:row>
    <x:row r="374">
      <x:c r="A374" s="43" t="str">
        <x:v>BS_TRADING_FINANCIAL_ASSETS</x:v>
      </x:c>
      <x:c r="B374" s="43" t="str">
        <x:v>H3B_ATTEMPT005</x:v>
      </x:c>
      <x:c r="C374" s="43" t="str">
        <x:v>BASE</x:v>
      </x:c>
      <x:c r="D374" s="43" t="str">
        <x:v>RMB_MILLION</x:v>
      </x:c>
      <x:c r="E374" s="43" t="n">
        <x:v>1034.16697369</x:v>
      </x:c>
      <x:c r="F374" s="43" t="n">
        <x:v>2030</x:v>
      </x:c>
      <x:c r="G374" s="39"/>
      <x:c r="H374" s="39"/>
    </x:row>
    <x:row r="375">
      <x:c r="A375" s="43" t="str">
        <x:v>BS_TRADING_FINANCIAL_LIABILITIES</x:v>
      </x:c>
      <x:c r="B375" s="43" t="str">
        <x:v>H3B_ATTEMPT005</x:v>
      </x:c>
      <x:c r="C375" s="43" t="str">
        <x:v>BASE</x:v>
      </x:c>
      <x:c r="D375" s="43" t="str">
        <x:v>RMB_MILLION</x:v>
      </x:c>
      <x:c r="E375" s="43" t="n">
        <x:v>1027.94203984</x:v>
      </x:c>
      <x:c r="F375" s="43" t="n">
        <x:v>2030</x:v>
      </x:c>
      <x:c r="G375" s="39"/>
      <x:c r="H375" s="39"/>
    </x:row>
    <x:row r="376">
      <x:c r="A376" s="43" t="str">
        <x:v>BS_TREASURY_SHARES</x:v>
      </x:c>
      <x:c r="B376" s="43" t="str">
        <x:v>H3B_ATTEMPT005</x:v>
      </x:c>
      <x:c r="C376" s="43" t="str">
        <x:v>BASE</x:v>
      </x:c>
      <x:c r="D376" s="43" t="str">
        <x:v>RMB_MILLION</x:v>
      </x:c>
      <x:c r="E376" s="43" t="n">
        <x:v>-8151.117</x:v>
      </x:c>
      <x:c r="F376" s="43" t="n">
        <x:v>2030</x:v>
      </x:c>
      <x:c r="G376" s="39"/>
      <x:c r="H376" s="39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.8799991607666" hidden="0" customWidth="1"/>
    <x:col min="2" max="2" width="14.380000114440918" hidden="0" customWidth="1"/>
    <x:col min="3" max="3" width="7.130000114440918" hidden="0" customWidth="1"/>
    <x:col min="4" max="4" width="11.5" hidden="0" customWidth="1"/>
    <x:col min="5" max="5" width="10.880000114440918" hidden="0" customWidth="1"/>
    <x:col min="6" max="6" width="4.25" hidden="0" customWidth="1"/>
  </x:cols>
  <x:sheetData>
    <x:row r="1">
      <x:c r="A1" s="37" t="str">
        <x:v>Historical CF</x:v>
      </x:c>
      <x:c r="B1" s="37"/>
      <x:c r="C1" s="37"/>
      <x:c r="D1" s="37"/>
      <x:c r="E1" s="37"/>
      <x:c r="F1" s="37"/>
      <x:c r="G1" s="37"/>
      <x:c r="H1" s="37"/>
    </x:row>
    <x:row r="2">
      <x:c r="A2" s="39"/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2" t="str">
        <x:v>Metric_ID</x:v>
      </x:c>
      <x:c r="B4" s="42" t="str">
        <x:v>Owner</x:v>
      </x:c>
      <x:c r="C4" s="42" t="str">
        <x:v>Scenario</x:v>
      </x:c>
      <x:c r="D4" s="42" t="str">
        <x:v>Unit</x:v>
      </x:c>
      <x:c r="E4" s="42" t="str">
        <x:v>Value</x:v>
      </x:c>
      <x:c r="F4" s="42" t="str">
        <x:v>Year</x:v>
      </x:c>
      <x:c r="G4" s="39"/>
      <x:c r="H4" s="39"/>
    </x:row>
    <x:row r="5">
      <x:c r="A5" s="43" t="str">
        <x:v>CF_ACQUISITION_PAYMENTS</x:v>
      </x:c>
      <x:c r="B5" s="43" t="str">
        <x:v>H1_CERTIFIED</x:v>
      </x:c>
      <x:c r="C5" s="43" t="str">
        <x:v>BASE</x:v>
      </x:c>
      <x:c r="D5" s="43" t="str">
        <x:v>RMB_MILLION</x:v>
      </x:c>
      <x:c r="E5" s="43" t="n">
        <x:v>-6155.136</x:v>
      </x:c>
      <x:c r="F5" s="43" t="n">
        <x:v>2025</x:v>
      </x:c>
      <x:c r="G5" s="39"/>
      <x:c r="H5" s="39"/>
    </x:row>
    <x:row r="6">
      <x:c r="A6" s="43" t="str">
        <x:v>CF_CAPEX</x:v>
      </x:c>
      <x:c r="B6" s="43" t="str">
        <x:v>H1_CERTIFIED</x:v>
      </x:c>
      <x:c r="C6" s="43" t="str">
        <x:v>BASE</x:v>
      </x:c>
      <x:c r="D6" s="43" t="str">
        <x:v>RMB_MILLION</x:v>
      </x:c>
      <x:c r="E6" s="43" t="n">
        <x:v>-11141.889</x:v>
      </x:c>
      <x:c r="F6" s="43" t="n">
        <x:v>2025</x:v>
      </x:c>
      <x:c r="G6" s="39"/>
      <x:c r="H6" s="39"/>
    </x:row>
    <x:row r="7">
      <x:c r="A7" s="43" t="str">
        <x:v>CF_CASH_FROM_SALES</x:v>
      </x:c>
      <x:c r="B7" s="43" t="str">
        <x:v>H1_CERTIFIED</x:v>
      </x:c>
      <x:c r="C7" s="43" t="str">
        <x:v>BASE</x:v>
      </x:c>
      <x:c r="D7" s="43" t="str">
        <x:v>RMB_MILLION</x:v>
      </x:c>
      <x:c r="E7" s="43" t="n">
        <x:v>426210.8</x:v>
      </x:c>
      <x:c r="F7" s="43" t="n">
        <x:v>2025</x:v>
      </x:c>
      <x:c r="G7" s="39"/>
      <x:c r="H7" s="39"/>
    </x:row>
    <x:row r="8">
      <x:c r="A8" s="43" t="str">
        <x:v>CF_CASH_TO_EMPLOYEES</x:v>
      </x:c>
      <x:c r="B8" s="43" t="str">
        <x:v>H1_CERTIFIED</x:v>
      </x:c>
      <x:c r="C8" s="43" t="str">
        <x:v>BASE</x:v>
      </x:c>
      <x:c r="D8" s="43" t="str">
        <x:v>RMB_MILLION</x:v>
      </x:c>
      <x:c r="E8" s="43" t="n">
        <x:v>-43785.067</x:v>
      </x:c>
      <x:c r="F8" s="43" t="n">
        <x:v>2025</x:v>
      </x:c>
      <x:c r="G8" s="39"/>
      <x:c r="H8" s="39"/>
    </x:row>
    <x:row r="9">
      <x:c r="A9" s="43" t="str">
        <x:v>CF_CASH_TO_SUPPLIERS</x:v>
      </x:c>
      <x:c r="B9" s="43" t="str">
        <x:v>H1_CERTIFIED</x:v>
      </x:c>
      <x:c r="C9" s="43" t="str">
        <x:v>BASE</x:v>
      </x:c>
      <x:c r="D9" s="43" t="str">
        <x:v>RMB_MILLION</x:v>
      </x:c>
      <x:c r="E9" s="43" t="n">
        <x:v>-281799.282</x:v>
      </x:c>
      <x:c r="F9" s="43" t="n">
        <x:v>2025</x:v>
      </x:c>
      <x:c r="G9" s="39"/>
      <x:c r="H9" s="39"/>
    </x:row>
    <x:row r="10">
      <x:c r="A10" s="43" t="str">
        <x:v>CF_CFF</x:v>
      </x:c>
      <x:c r="B10" s="43" t="str">
        <x:v>H1_CERTIFIED</x:v>
      </x:c>
      <x:c r="C10" s="43" t="str">
        <x:v>BASE</x:v>
      </x:c>
      <x:c r="D10" s="43" t="str">
        <x:v>RMB_MILLION</x:v>
      </x:c>
      <x:c r="E10" s="43" t="n">
        <x:v>-64957.779</x:v>
      </x:c>
      <x:c r="F10" s="43" t="n">
        <x:v>2025</x:v>
      </x:c>
      <x:c r="G10" s="39"/>
      <x:c r="H10" s="39"/>
    </x:row>
    <x:row r="11">
      <x:c r="A11" s="43" t="str">
        <x:v>CF_CFI</x:v>
      </x:c>
      <x:c r="B11" s="43" t="str">
        <x:v>H1_CERTIFIED</x:v>
      </x:c>
      <x:c r="C11" s="43" t="str">
        <x:v>BASE</x:v>
      </x:c>
      <x:c r="D11" s="43" t="str">
        <x:v>RMB_MILLION</x:v>
      </x:c>
      <x:c r="E11" s="43" t="n">
        <x:v>25340.273</x:v>
      </x:c>
      <x:c r="F11" s="43" t="n">
        <x:v>2025</x:v>
      </x:c>
      <x:c r="G11" s="39"/>
      <x:c r="H11" s="39"/>
    </x:row>
    <x:row r="12">
      <x:c r="A12" s="43" t="str">
        <x:v>CF_CFO</x:v>
      </x:c>
      <x:c r="B12" s="43" t="str">
        <x:v>H1_CERTIFIED</x:v>
      </x:c>
      <x:c r="C12" s="43" t="str">
        <x:v>BASE</x:v>
      </x:c>
      <x:c r="D12" s="43" t="str">
        <x:v>RMB_MILLION</x:v>
      </x:c>
      <x:c r="E12" s="43" t="n">
        <x:v>53345.93</x:v>
      </x:c>
      <x:c r="F12" s="43" t="n">
        <x:v>2025</x:v>
      </x:c>
      <x:c r="G12" s="39"/>
      <x:c r="H12" s="39"/>
    </x:row>
    <x:row r="13">
      <x:c r="A13" s="43" t="str">
        <x:v>CF_CLOSING_CASH</x:v>
      </x:c>
      <x:c r="B13" s="43" t="str">
        <x:v>H1_CERTIFIED</x:v>
      </x:c>
      <x:c r="C13" s="43" t="str">
        <x:v>BASE</x:v>
      </x:c>
      <x:c r="D13" s="43" t="str">
        <x:v>RMB_MILLION</x:v>
      </x:c>
      <x:c r="E13" s="43" t="n">
        <x:v>68508.67</x:v>
      </x:c>
      <x:c r="F13" s="43" t="n">
        <x:v>2025</x:v>
      </x:c>
      <x:c r="G13" s="39"/>
      <x:c r="H13" s="39"/>
    </x:row>
    <x:row r="14">
      <x:c r="A14" s="43" t="str">
        <x:v>CF_DEBT_PROCEEDS</x:v>
      </x:c>
      <x:c r="B14" s="43" t="str">
        <x:v>H1_CERTIFIED</x:v>
      </x:c>
      <x:c r="C14" s="43" t="str">
        <x:v>BASE</x:v>
      </x:c>
      <x:c r="D14" s="43" t="str">
        <x:v>RMB_MILLION</x:v>
      </x:c>
      <x:c r="E14" s="43" t="n">
        <x:v>88859.535</x:v>
      </x:c>
      <x:c r="F14" s="43" t="n">
        <x:v>2025</x:v>
      </x:c>
      <x:c r="G14" s="39"/>
      <x:c r="H14" s="39"/>
    </x:row>
    <x:row r="15">
      <x:c r="A15" s="43" t="str">
        <x:v>CF_DEBT_REPAYMENTS</x:v>
      </x:c>
      <x:c r="B15" s="43" t="str">
        <x:v>H1_CERTIFIED</x:v>
      </x:c>
      <x:c r="C15" s="43" t="str">
        <x:v>BASE</x:v>
      </x:c>
      <x:c r="D15" s="43" t="str">
        <x:v>RMB_MILLION</x:v>
      </x:c>
      <x:c r="E15" s="43" t="n">
        <x:v>-112064.327</x:v>
      </x:c>
      <x:c r="F15" s="43" t="n">
        <x:v>2025</x:v>
      </x:c>
      <x:c r="G15" s="39"/>
      <x:c r="H15" s="39"/>
    </x:row>
    <x:row r="16">
      <x:c r="A16" s="43" t="str">
        <x:v>CF_DIVIDENDS_INTEREST</x:v>
      </x:c>
      <x:c r="B16" s="43" t="str">
        <x:v>H1_CERTIFIED</x:v>
      </x:c>
      <x:c r="C16" s="43" t="str">
        <x:v>BASE</x:v>
      </x:c>
      <x:c r="D16" s="43" t="str">
        <x:v>RMB_MILLION</x:v>
      </x:c>
      <x:c r="E16" s="43" t="n">
        <x:v>-33080.135</x:v>
      </x:c>
      <x:c r="F16" s="43" t="n">
        <x:v>2025</x:v>
      </x:c>
      <x:c r="G16" s="39"/>
      <x:c r="H16" s="39"/>
    </x:row>
    <x:row r="17">
      <x:c r="A17" s="43" t="str">
        <x:v>CF_FX_EFFECT</x:v>
      </x:c>
      <x:c r="B17" s="43" t="str">
        <x:v>H1_CERTIFIED</x:v>
      </x:c>
      <x:c r="C17" s="43" t="str">
        <x:v>BASE</x:v>
      </x:c>
      <x:c r="D17" s="43" t="str">
        <x:v>RMB_MILLION</x:v>
      </x:c>
      <x:c r="E17" s="43" t="n">
        <x:v>-338.482</x:v>
      </x:c>
      <x:c r="F17" s="43" t="n">
        <x:v>2025</x:v>
      </x:c>
      <x:c r="G17" s="39"/>
      <x:c r="H17" s="39"/>
    </x:row>
    <x:row r="18">
      <x:c r="A18" s="43" t="str">
        <x:v>CF_INVESTMENT_PROCEEDS</x:v>
      </x:c>
      <x:c r="B18" s="43" t="str">
        <x:v>H1_CERTIFIED</x:v>
      </x:c>
      <x:c r="C18" s="43" t="str">
        <x:v>BASE</x:v>
      </x:c>
      <x:c r="D18" s="43" t="str">
        <x:v>RMB_MILLION</x:v>
      </x:c>
      <x:c r="E18" s="43" t="n">
        <x:v>197531.961</x:v>
      </x:c>
      <x:c r="F18" s="43" t="n">
        <x:v>2025</x:v>
      </x:c>
      <x:c r="G18" s="39"/>
      <x:c r="H18" s="39"/>
    </x:row>
    <x:row r="19">
      <x:c r="A19" s="43" t="str">
        <x:v>CF_INVESTMENT_PURCHASES</x:v>
      </x:c>
      <x:c r="B19" s="43" t="str">
        <x:v>H1_CERTIFIED</x:v>
      </x:c>
      <x:c r="C19" s="43" t="str">
        <x:v>BASE</x:v>
      </x:c>
      <x:c r="D19" s="43" t="str">
        <x:v>RMB_MILLION</x:v>
      </x:c>
      <x:c r="E19" s="43" t="n">
        <x:v>-164904.908</x:v>
      </x:c>
      <x:c r="F19" s="43" t="n">
        <x:v>2025</x:v>
      </x:c>
      <x:c r="G19" s="39"/>
      <x:c r="H19" s="39"/>
    </x:row>
    <x:row r="20">
      <x:c r="A20" s="43" t="str">
        <x:v>CF_NET_CHANGE_CASH</x:v>
      </x:c>
      <x:c r="B20" s="43" t="str">
        <x:v>H1_CERTIFIED</x:v>
      </x:c>
      <x:c r="C20" s="43" t="str">
        <x:v>BASE</x:v>
      </x:c>
      <x:c r="D20" s="43" t="str">
        <x:v>RMB_MILLION</x:v>
      </x:c>
      <x:c r="E20" s="43" t="n">
        <x:v>13389.942</x:v>
      </x:c>
      <x:c r="F20" s="43" t="n">
        <x:v>2025</x:v>
      </x:c>
      <x:c r="G20" s="39"/>
      <x:c r="H20" s="39"/>
    </x:row>
    <x:row r="21">
      <x:c r="A21" s="43" t="str">
        <x:v>CF_OPENING_CASH</x:v>
      </x:c>
      <x:c r="B21" s="43" t="str">
        <x:v>H1_CERTIFIED</x:v>
      </x:c>
      <x:c r="C21" s="43" t="str">
        <x:v>BASE</x:v>
      </x:c>
      <x:c r="D21" s="43" t="str">
        <x:v>RMB_MILLION</x:v>
      </x:c>
      <x:c r="E21" s="43" t="n">
        <x:v>55118.728</x:v>
      </x:c>
      <x:c r="F21" s="43" t="n">
        <x:v>2025</x:v>
      </x:c>
      <x:c r="G21" s="39"/>
      <x:c r="H21" s="39"/>
    </x:row>
    <x:row r="22">
      <x:c r="A22" s="43" t="str">
        <x:v>CF_TAXES_PAID</x:v>
      </x:c>
      <x:c r="B22" s="43" t="str">
        <x:v>H1_CERTIFIED</x:v>
      </x:c>
      <x:c r="C22" s="43" t="str">
        <x:v>BASE</x:v>
      </x:c>
      <x:c r="D22" s="43" t="str">
        <x:v>RMB_MILLION</x:v>
      </x:c>
      <x:c r="E22" s="43" t="n">
        <x:v>-20316.919</x:v>
      </x:c>
      <x:c r="F22" s="43" t="n">
        <x:v>2025</x:v>
      </x:c>
      <x:c r="G22" s="39"/>
      <x:c r="H22" s="39"/>
    </x:row>
    <x:row r="23">
      <x:c r="A23" s="43" t="str">
        <x:v>CF_ACQUISITION_PAYMENTS</x:v>
      </x:c>
      <x:c r="B23" s="43" t="str">
        <x:v>H3B_ATTEMPT005</x:v>
      </x:c>
      <x:c r="C23" s="43" t="str">
        <x:v>BASE</x:v>
      </x:c>
      <x:c r="D23" s="43" t="str">
        <x:v>RMB_MILLION</x:v>
      </x:c>
      <x:c r="E23" s="43" t="n">
        <x:v>0</x:v>
      </x:c>
      <x:c r="F23" s="43" t="n">
        <x:v>2026</x:v>
      </x:c>
      <x:c r="G23" s="39"/>
      <x:c r="H23" s="39"/>
    </x:row>
    <x:row r="24">
      <x:c r="A24" s="43" t="str">
        <x:v>CF_CAPEX</x:v>
      </x:c>
      <x:c r="B24" s="43" t="str">
        <x:v>H3B_ATTEMPT005</x:v>
      </x:c>
      <x:c r="C24" s="43" t="str">
        <x:v>BASE</x:v>
      </x:c>
      <x:c r="D24" s="43" t="str">
        <x:v>RMB_MILLION</x:v>
      </x:c>
      <x:c r="E24" s="43" t="n">
        <x:v>-8741.56836899</x:v>
      </x:c>
      <x:c r="F24" s="43" t="n">
        <x:v>2026</x:v>
      </x:c>
      <x:c r="G24" s="39"/>
      <x:c r="H24" s="39"/>
    </x:row>
    <x:row r="25">
      <x:c r="A25" s="43" t="str">
        <x:v>CF_CASH_FROM_SALES</x:v>
      </x:c>
      <x:c r="B25" s="43" t="str">
        <x:v>H3B_ATTEMPT005</x:v>
      </x:c>
      <x:c r="C25" s="43" t="str">
        <x:v>BASE</x:v>
      </x:c>
      <x:c r="D25" s="43" t="str">
        <x:v>RMB_MILLION</x:v>
      </x:c>
      <x:c r="E25" s="43" t="n">
        <x:v>481765.86961073</x:v>
      </x:c>
      <x:c r="F25" s="43" t="n">
        <x:v>2026</x:v>
      </x:c>
      <x:c r="G25" s="39"/>
      <x:c r="H25" s="39"/>
    </x:row>
    <x:row r="26">
      <x:c r="A26" s="43" t="str">
        <x:v>CF_CASH_TO_EMPLOYEES</x:v>
      </x:c>
      <x:c r="B26" s="43" t="str">
        <x:v>H3B_ATTEMPT005</x:v>
      </x:c>
      <x:c r="C26" s="43" t="str">
        <x:v>BASE</x:v>
      </x:c>
      <x:c r="D26" s="43" t="str">
        <x:v>RMB_MILLION</x:v>
      </x:c>
      <x:c r="E26" s="43" t="n">
        <x:v>-26588.48222008</x:v>
      </x:c>
      <x:c r="F26" s="43" t="n">
        <x:v>2026</x:v>
      </x:c>
      <x:c r="G26" s="39"/>
      <x:c r="H26" s="39"/>
    </x:row>
    <x:row r="27">
      <x:c r="A27" s="43" t="str">
        <x:v>CF_CASH_TO_SUPPLIERS</x:v>
      </x:c>
      <x:c r="B27" s="43" t="str">
        <x:v>H3B_ATTEMPT005</x:v>
      </x:c>
      <x:c r="C27" s="43" t="str">
        <x:v>BASE</x:v>
      </x:c>
      <x:c r="D27" s="43" t="str">
        <x:v>RMB_MILLION</x:v>
      </x:c>
      <x:c r="E27" s="43" t="n">
        <x:v>-363322.58406283</x:v>
      </x:c>
      <x:c r="F27" s="43" t="n">
        <x:v>2026</x:v>
      </x:c>
      <x:c r="G27" s="39"/>
      <x:c r="H27" s="39"/>
    </x:row>
    <x:row r="28">
      <x:c r="A28" s="43" t="str">
        <x:v>CF_CFF</x:v>
      </x:c>
      <x:c r="B28" s="43" t="str">
        <x:v>H3B_ATTEMPT005</x:v>
      </x:c>
      <x:c r="C28" s="43" t="str">
        <x:v>BASE</x:v>
      </x:c>
      <x:c r="D28" s="43" t="str">
        <x:v>RMB_MILLION</x:v>
      </x:c>
      <x:c r="E28" s="43" t="n">
        <x:v>-15924.53560132</x:v>
      </x:c>
      <x:c r="F28" s="43" t="n">
        <x:v>2026</x:v>
      </x:c>
      <x:c r="G28" s="39"/>
      <x:c r="H28" s="39"/>
    </x:row>
    <x:row r="29">
      <x:c r="A29" s="43" t="str">
        <x:v>CF_CFI</x:v>
      </x:c>
      <x:c r="B29" s="43" t="str">
        <x:v>H3B_ATTEMPT005</x:v>
      </x:c>
      <x:c r="C29" s="43" t="str">
        <x:v>BASE</x:v>
      </x:c>
      <x:c r="D29" s="43" t="str">
        <x:v>RMB_MILLION</x:v>
      </x:c>
      <x:c r="E29" s="43" t="n">
        <x:v>-21622.39883721</x:v>
      </x:c>
      <x:c r="F29" s="43" t="n">
        <x:v>2026</x:v>
      </x:c>
      <x:c r="G29" s="39"/>
      <x:c r="H29" s="39"/>
    </x:row>
    <x:row r="30">
      <x:c r="A30" s="43" t="str">
        <x:v>CF_CFO</x:v>
      </x:c>
      <x:c r="B30" s="43" t="str">
        <x:v>H3B_ATTEMPT005</x:v>
      </x:c>
      <x:c r="C30" s="43" t="str">
        <x:v>BASE</x:v>
      </x:c>
      <x:c r="D30" s="43" t="str">
        <x:v>RMB_MILLION</x:v>
      </x:c>
      <x:c r="E30" s="43" t="n">
        <x:v>55319.90238123</x:v>
      </x:c>
      <x:c r="F30" s="43" t="n">
        <x:v>2026</x:v>
      </x:c>
      <x:c r="G30" s="39"/>
      <x:c r="H30" s="39"/>
    </x:row>
    <x:row r="31">
      <x:c r="A31" s="43" t="str">
        <x:v>CF_CLOSING_CASH</x:v>
      </x:c>
      <x:c r="B31" s="43" t="str">
        <x:v>H3B_ATTEMPT005</x:v>
      </x:c>
      <x:c r="C31" s="43" t="str">
        <x:v>BASE</x:v>
      </x:c>
      <x:c r="D31" s="43" t="str">
        <x:v>RMB_MILLION</x:v>
      </x:c>
      <x:c r="E31" s="43" t="n">
        <x:v>86281.6379427</x:v>
      </x:c>
      <x:c r="F31" s="43" t="n">
        <x:v>2026</x:v>
      </x:c>
      <x:c r="G31" s="39"/>
      <x:c r="H31" s="39"/>
    </x:row>
    <x:row r="32">
      <x:c r="A32" s="43" t="str">
        <x:v>CF_DEBT_PROCEEDS</x:v>
      </x:c>
      <x:c r="B32" s="43" t="str">
        <x:v>H3B_ATTEMPT005</x:v>
      </x:c>
      <x:c r="C32" s="43" t="str">
        <x:v>BASE</x:v>
      </x:c>
      <x:c r="D32" s="43" t="str">
        <x:v>RMB_MILLION</x:v>
      </x:c>
      <x:c r="E32" s="43" t="n">
        <x:v>13986.61330757</x:v>
      </x:c>
      <x:c r="F32" s="43" t="n">
        <x:v>2026</x:v>
      </x:c>
      <x:c r="G32" s="39"/>
      <x:c r="H32" s="39"/>
    </x:row>
    <x:row r="33">
      <x:c r="A33" s="43" t="str">
        <x:v>CF_DEBT_REPAYMENTS</x:v>
      </x:c>
      <x:c r="B33" s="43" t="str">
        <x:v>H3B_ATTEMPT005</x:v>
      </x:c>
      <x:c r="C33" s="43" t="str">
        <x:v>BASE</x:v>
      </x:c>
      <x:c r="D33" s="43" t="str">
        <x:v>RMB_MILLION</x:v>
      </x:c>
      <x:c r="E33" s="43" t="n">
        <x:v>0</x:v>
      </x:c>
      <x:c r="F33" s="43" t="n">
        <x:v>2026</x:v>
      </x:c>
      <x:c r="G33" s="39"/>
      <x:c r="H33" s="39"/>
    </x:row>
    <x:row r="34">
      <x:c r="A34" s="43" t="str">
        <x:v>CF_DIVIDENDS_INTEREST</x:v>
      </x:c>
      <x:c r="B34" s="43" t="str">
        <x:v>H3B_ATTEMPT005</x:v>
      </x:c>
      <x:c r="C34" s="43" t="str">
        <x:v>BASE</x:v>
      </x:c>
      <x:c r="D34" s="43" t="str">
        <x:v>RMB_MILLION</x:v>
      </x:c>
      <x:c r="E34" s="43" t="n">
        <x:v>-33009.48383497</x:v>
      </x:c>
      <x:c r="F34" s="43" t="n">
        <x:v>2026</x:v>
      </x:c>
      <x:c r="G34" s="39"/>
      <x:c r="H34" s="39"/>
    </x:row>
    <x:row r="35">
      <x:c r="A35" s="43" t="str">
        <x:v>CF_FX_EFFECT</x:v>
      </x:c>
      <x:c r="B35" s="43" t="str">
        <x:v>H3B_ATTEMPT005</x:v>
      </x:c>
      <x:c r="C35" s="43" t="str">
        <x:v>BASE</x:v>
      </x:c>
      <x:c r="D35" s="43" t="str">
        <x:v>RMB_MILLION</x:v>
      </x:c>
      <x:c r="E35" s="43" t="n">
        <x:v>0</x:v>
      </x:c>
      <x:c r="F35" s="43" t="n">
        <x:v>2026</x:v>
      </x:c>
      <x:c r="G35" s="39"/>
      <x:c r="H35" s="39"/>
    </x:row>
    <x:row r="36">
      <x:c r="A36" s="43" t="str">
        <x:v>CF_INVESTMENT_PROCEEDS</x:v>
      </x:c>
      <x:c r="B36" s="43" t="str">
        <x:v>H3B_ATTEMPT005</x:v>
      </x:c>
      <x:c r="C36" s="43" t="str">
        <x:v>BASE</x:v>
      </x:c>
      <x:c r="D36" s="43" t="str">
        <x:v>RMB_MILLION</x:v>
      </x:c>
      <x:c r="E36" s="43" t="n">
        <x:v>0</x:v>
      </x:c>
      <x:c r="F36" s="43" t="n">
        <x:v>2026</x:v>
      </x:c>
      <x:c r="G36" s="39"/>
      <x:c r="H36" s="39"/>
    </x:row>
    <x:row r="37">
      <x:c r="A37" s="43" t="str">
        <x:v>CF_INVESTMENT_PURCHASES</x:v>
      </x:c>
      <x:c r="B37" s="43" t="str">
        <x:v>H3B_ATTEMPT005</x:v>
      </x:c>
      <x:c r="C37" s="43" t="str">
        <x:v>BASE</x:v>
      </x:c>
      <x:c r="D37" s="43" t="str">
        <x:v>RMB_MILLION</x:v>
      </x:c>
      <x:c r="E37" s="43" t="n">
        <x:v>0</x:v>
      </x:c>
      <x:c r="F37" s="43" t="n">
        <x:v>2026</x:v>
      </x:c>
      <x:c r="G37" s="39"/>
      <x:c r="H37" s="39"/>
    </x:row>
    <x:row r="38">
      <x:c r="A38" s="43" t="str">
        <x:v>CF_NET_CHANGE_CASH</x:v>
      </x:c>
      <x:c r="B38" s="43" t="str">
        <x:v>H3B_ATTEMPT005</x:v>
      </x:c>
      <x:c r="C38" s="43" t="str">
        <x:v>BASE</x:v>
      </x:c>
      <x:c r="D38" s="43" t="str">
        <x:v>RMB_MILLION</x:v>
      </x:c>
      <x:c r="E38" s="43" t="n">
        <x:v>17772.9679427</x:v>
      </x:c>
      <x:c r="F38" s="43" t="n">
        <x:v>2026</x:v>
      </x:c>
      <x:c r="G38" s="39"/>
      <x:c r="H38" s="39"/>
    </x:row>
    <x:row r="39">
      <x:c r="A39" s="43" t="str">
        <x:v>CF_OPENING_CASH</x:v>
      </x:c>
      <x:c r="B39" s="43" t="str">
        <x:v>H3B_ATTEMPT005</x:v>
      </x:c>
      <x:c r="C39" s="43" t="str">
        <x:v>BASE</x:v>
      </x:c>
      <x:c r="D39" s="43" t="str">
        <x:v>RMB_MILLION</x:v>
      </x:c>
      <x:c r="E39" s="43" t="n">
        <x:v>68508.67</x:v>
      </x:c>
      <x:c r="F39" s="43" t="n">
        <x:v>2026</x:v>
      </x:c>
      <x:c r="G39" s="39"/>
      <x:c r="H39" s="39"/>
    </x:row>
    <x:row r="40">
      <x:c r="A40" s="43" t="str">
        <x:v>CF_TAXES_PAID</x:v>
      </x:c>
      <x:c r="B40" s="43" t="str">
        <x:v>H3B_ATTEMPT005</x:v>
      </x:c>
      <x:c r="C40" s="43" t="str">
        <x:v>BASE</x:v>
      </x:c>
      <x:c r="D40" s="43" t="str">
        <x:v>RMB_MILLION</x:v>
      </x:c>
      <x:c r="E40" s="43" t="n">
        <x:v>-7414.78772373</x:v>
      </x:c>
      <x:c r="F40" s="43" t="n">
        <x:v>2026</x:v>
      </x:c>
      <x:c r="G40" s="39"/>
      <x:c r="H40" s="39"/>
    </x:row>
    <x:row r="41">
      <x:c r="A41" s="43" t="str">
        <x:v>CF_ACQUISITION_PAYMENTS</x:v>
      </x:c>
      <x:c r="B41" s="43" t="str">
        <x:v>H3B_ATTEMPT005</x:v>
      </x:c>
      <x:c r="C41" s="43" t="str">
        <x:v>BASE</x:v>
      </x:c>
      <x:c r="D41" s="43" t="str">
        <x:v>RMB_MILLION</x:v>
      </x:c>
      <x:c r="E41" s="43" t="n">
        <x:v>0</x:v>
      </x:c>
      <x:c r="F41" s="43" t="n">
        <x:v>2027</x:v>
      </x:c>
      <x:c r="G41" s="39"/>
      <x:c r="H41" s="39"/>
    </x:row>
    <x:row r="42">
      <x:c r="A42" s="43" t="str">
        <x:v>CF_CAPEX</x:v>
      </x:c>
      <x:c r="B42" s="43" t="str">
        <x:v>H3B_ATTEMPT005</x:v>
      </x:c>
      <x:c r="C42" s="43" t="str">
        <x:v>BASE</x:v>
      </x:c>
      <x:c r="D42" s="43" t="str">
        <x:v>RMB_MILLION</x:v>
      </x:c>
      <x:c r="E42" s="43" t="n">
        <x:v>-9670.153555</x:v>
      </x:c>
      <x:c r="F42" s="43" t="n">
        <x:v>2027</x:v>
      </x:c>
      <x:c r="G42" s="39"/>
      <x:c r="H42" s="39"/>
    </x:row>
    <x:row r="43">
      <x:c r="A43" s="43" t="str">
        <x:v>CF_CASH_FROM_SALES</x:v>
      </x:c>
      <x:c r="B43" s="43" t="str">
        <x:v>H3B_ATTEMPT005</x:v>
      </x:c>
      <x:c r="C43" s="43" t="str">
        <x:v>BASE</x:v>
      </x:c>
      <x:c r="D43" s="43" t="str">
        <x:v>RMB_MILLION</x:v>
      </x:c>
      <x:c r="E43" s="43" t="n">
        <x:v>519014.74511418</x:v>
      </x:c>
      <x:c r="F43" s="43" t="n">
        <x:v>2027</x:v>
      </x:c>
      <x:c r="G43" s="39"/>
      <x:c r="H43" s="39"/>
    </x:row>
    <x:row r="44">
      <x:c r="A44" s="43" t="str">
        <x:v>CF_CASH_TO_EMPLOYEES</x:v>
      </x:c>
      <x:c r="B44" s="43" t="str">
        <x:v>H3B_ATTEMPT005</x:v>
      </x:c>
      <x:c r="C44" s="43" t="str">
        <x:v>BASE</x:v>
      </x:c>
      <x:c r="D44" s="43" t="str">
        <x:v>RMB_MILLION</x:v>
      </x:c>
      <x:c r="E44" s="43" t="n">
        <x:v>-29130.8462759</x:v>
      </x:c>
      <x:c r="F44" s="43" t="n">
        <x:v>2027</x:v>
      </x:c>
      <x:c r="G44" s="39"/>
      <x:c r="H44" s="39"/>
    </x:row>
    <x:row r="45">
      <x:c r="A45" s="43" t="str">
        <x:v>CF_CASH_TO_SUPPLIERS</x:v>
      </x:c>
      <x:c r="B45" s="43" t="str">
        <x:v>H3B_ATTEMPT005</x:v>
      </x:c>
      <x:c r="C45" s="43" t="str">
        <x:v>BASE</x:v>
      </x:c>
      <x:c r="D45" s="43" t="str">
        <x:v>RMB_MILLION</x:v>
      </x:c>
      <x:c r="E45" s="43" t="n">
        <x:v>-386946.07944927</x:v>
      </x:c>
      <x:c r="F45" s="43" t="n">
        <x:v>2027</x:v>
      </x:c>
      <x:c r="G45" s="39"/>
      <x:c r="H45" s="39"/>
    </x:row>
    <x:row r="46">
      <x:c r="A46" s="43" t="str">
        <x:v>CF_CFF</x:v>
      </x:c>
      <x:c r="B46" s="43" t="str">
        <x:v>H3B_ATTEMPT005</x:v>
      </x:c>
      <x:c r="C46" s="43" t="str">
        <x:v>BASE</x:v>
      </x:c>
      <x:c r="D46" s="43" t="str">
        <x:v>RMB_MILLION</x:v>
      </x:c>
      <x:c r="E46" s="43" t="n">
        <x:v>-35745.10765404</x:v>
      </x:c>
      <x:c r="F46" s="43" t="n">
        <x:v>2027</x:v>
      </x:c>
      <x:c r="G46" s="39"/>
      <x:c r="H46" s="39"/>
    </x:row>
    <x:row r="47">
      <x:c r="A47" s="43" t="str">
        <x:v>CF_CFI</x:v>
      </x:c>
      <x:c r="B47" s="43" t="str">
        <x:v>H3B_ATTEMPT005</x:v>
      </x:c>
      <x:c r="C47" s="43" t="str">
        <x:v>BASE</x:v>
      </x:c>
      <x:c r="D47" s="43" t="str">
        <x:v>RMB_MILLION</x:v>
      </x:c>
      <x:c r="E47" s="43" t="n">
        <x:v>-24531.75707182</x:v>
      </x:c>
      <x:c r="F47" s="43" t="n">
        <x:v>2027</x:v>
      </x:c>
      <x:c r="G47" s="39"/>
      <x:c r="H47" s="39"/>
    </x:row>
    <x:row r="48">
      <x:c r="A48" s="43" t="str">
        <x:v>CF_CFO</x:v>
      </x:c>
      <x:c r="B48" s="43" t="str">
        <x:v>H3B_ATTEMPT005</x:v>
      </x:c>
      <x:c r="C48" s="43" t="str">
        <x:v>BASE</x:v>
      </x:c>
      <x:c r="D48" s="43" t="str">
        <x:v>RMB_MILLION</x:v>
      </x:c>
      <x:c r="E48" s="43" t="n">
        <x:v>63822.40966614</x:v>
      </x:c>
      <x:c r="F48" s="43" t="n">
        <x:v>2027</x:v>
      </x:c>
      <x:c r="G48" s="39"/>
      <x:c r="H48" s="39"/>
    </x:row>
    <x:row r="49">
      <x:c r="A49" s="43" t="str">
        <x:v>CF_CLOSING_CASH</x:v>
      </x:c>
      <x:c r="B49" s="43" t="str">
        <x:v>H3B_ATTEMPT005</x:v>
      </x:c>
      <x:c r="C49" s="43" t="str">
        <x:v>BASE</x:v>
      </x:c>
      <x:c r="D49" s="43" t="str">
        <x:v>RMB_MILLION</x:v>
      </x:c>
      <x:c r="E49" s="43" t="n">
        <x:v>89827.18288298</x:v>
      </x:c>
      <x:c r="F49" s="43" t="n">
        <x:v>2027</x:v>
      </x:c>
      <x:c r="G49" s="39"/>
      <x:c r="H49" s="39"/>
    </x:row>
    <x:row r="50">
      <x:c r="A50" s="43" t="str">
        <x:v>CF_DEBT_PROCEEDS</x:v>
      </x:c>
      <x:c r="B50" s="43" t="str">
        <x:v>H3B_ATTEMPT005</x:v>
      </x:c>
      <x:c r="C50" s="43" t="str">
        <x:v>BASE</x:v>
      </x:c>
      <x:c r="D50" s="43" t="str">
        <x:v>RMB_MILLION</x:v>
      </x:c>
      <x:c r="E50" s="43" t="n">
        <x:v>0</x:v>
      </x:c>
      <x:c r="F50" s="43" t="n">
        <x:v>2027</x:v>
      </x:c>
      <x:c r="G50" s="39"/>
      <x:c r="H50" s="39"/>
    </x:row>
    <x:row r="51">
      <x:c r="A51" s="43" t="str">
        <x:v>CF_DEBT_REPAYMENTS</x:v>
      </x:c>
      <x:c r="B51" s="43" t="str">
        <x:v>H3B_ATTEMPT005</x:v>
      </x:c>
      <x:c r="C51" s="43" t="str">
        <x:v>BASE</x:v>
      </x:c>
      <x:c r="D51" s="43" t="str">
        <x:v>RMB_MILLION</x:v>
      </x:c>
      <x:c r="E51" s="43" t="n">
        <x:v>-4432.27933656</x:v>
      </x:c>
      <x:c r="F51" s="43" t="n">
        <x:v>2027</x:v>
      </x:c>
      <x:c r="G51" s="39"/>
      <x:c r="H51" s="39"/>
    </x:row>
    <x:row r="52">
      <x:c r="A52" s="43" t="str">
        <x:v>CF_DIVIDENDS_INTEREST</x:v>
      </x:c>
      <x:c r="B52" s="43" t="str">
        <x:v>H3B_ATTEMPT005</x:v>
      </x:c>
      <x:c r="C52" s="43" t="str">
        <x:v>BASE</x:v>
      </x:c>
      <x:c r="D52" s="43" t="str">
        <x:v>RMB_MILLION</x:v>
      </x:c>
      <x:c r="E52" s="43" t="n">
        <x:v>-34600.12000782</x:v>
      </x:c>
      <x:c r="F52" s="43" t="n">
        <x:v>2027</x:v>
      </x:c>
      <x:c r="G52" s="39"/>
      <x:c r="H52" s="39"/>
    </x:row>
    <x:row r="53">
      <x:c r="A53" s="43" t="str">
        <x:v>CF_FX_EFFECT</x:v>
      </x:c>
      <x:c r="B53" s="43" t="str">
        <x:v>H3B_ATTEMPT005</x:v>
      </x:c>
      <x:c r="C53" s="43" t="str">
        <x:v>BASE</x:v>
      </x:c>
      <x:c r="D53" s="43" t="str">
        <x:v>RMB_MILLION</x:v>
      </x:c>
      <x:c r="E53" s="43" t="n">
        <x:v>0</x:v>
      </x:c>
      <x:c r="F53" s="43" t="n">
        <x:v>2027</x:v>
      </x:c>
      <x:c r="G53" s="39"/>
      <x:c r="H53" s="39"/>
    </x:row>
    <x:row r="54">
      <x:c r="A54" s="43" t="str">
        <x:v>CF_INVESTMENT_PROCEEDS</x:v>
      </x:c>
      <x:c r="B54" s="43" t="str">
        <x:v>H3B_ATTEMPT005</x:v>
      </x:c>
      <x:c r="C54" s="43" t="str">
        <x:v>BASE</x:v>
      </x:c>
      <x:c r="D54" s="43" t="str">
        <x:v>RMB_MILLION</x:v>
      </x:c>
      <x:c r="E54" s="43" t="n">
        <x:v>0</x:v>
      </x:c>
      <x:c r="F54" s="43" t="n">
        <x:v>2027</x:v>
      </x:c>
      <x:c r="G54" s="39"/>
      <x:c r="H54" s="39"/>
    </x:row>
    <x:row r="55">
      <x:c r="A55" s="43" t="str">
        <x:v>CF_INVESTMENT_PURCHASES</x:v>
      </x:c>
      <x:c r="B55" s="43" t="str">
        <x:v>H3B_ATTEMPT005</x:v>
      </x:c>
      <x:c r="C55" s="43" t="str">
        <x:v>BASE</x:v>
      </x:c>
      <x:c r="D55" s="43" t="str">
        <x:v>RMB_MILLION</x:v>
      </x:c>
      <x:c r="E55" s="43" t="n">
        <x:v>0</x:v>
      </x:c>
      <x:c r="F55" s="43" t="n">
        <x:v>2027</x:v>
      </x:c>
      <x:c r="G55" s="39"/>
      <x:c r="H55" s="39"/>
    </x:row>
    <x:row r="56">
      <x:c r="A56" s="43" t="str">
        <x:v>CF_NET_CHANGE_CASH</x:v>
      </x:c>
      <x:c r="B56" s="43" t="str">
        <x:v>H3B_ATTEMPT005</x:v>
      </x:c>
      <x:c r="C56" s="43" t="str">
        <x:v>BASE</x:v>
      </x:c>
      <x:c r="D56" s="43" t="str">
        <x:v>RMB_MILLION</x:v>
      </x:c>
      <x:c r="E56" s="43" t="n">
        <x:v>3545.54494028</x:v>
      </x:c>
      <x:c r="F56" s="43" t="n">
        <x:v>2027</x:v>
      </x:c>
      <x:c r="G56" s="39"/>
      <x:c r="H56" s="39"/>
    </x:row>
    <x:row r="57">
      <x:c r="A57" s="43" t="str">
        <x:v>CF_OPENING_CASH</x:v>
      </x:c>
      <x:c r="B57" s="43" t="str">
        <x:v>H3B_ATTEMPT005</x:v>
      </x:c>
      <x:c r="C57" s="43" t="str">
        <x:v>BASE</x:v>
      </x:c>
      <x:c r="D57" s="43" t="str">
        <x:v>RMB_MILLION</x:v>
      </x:c>
      <x:c r="E57" s="43" t="n">
        <x:v>86281.6379427</x:v>
      </x:c>
      <x:c r="F57" s="43" t="n">
        <x:v>2027</x:v>
      </x:c>
      <x:c r="G57" s="39"/>
      <x:c r="H57" s="39"/>
    </x:row>
    <x:row r="58">
      <x:c r="A58" s="43" t="str">
        <x:v>CF_TAXES_PAID</x:v>
      </x:c>
      <x:c r="B58" s="43" t="str">
        <x:v>H3B_ATTEMPT005</x:v>
      </x:c>
      <x:c r="C58" s="43" t="str">
        <x:v>BASE</x:v>
      </x:c>
      <x:c r="D58" s="43" t="str">
        <x:v>RMB_MILLION</x:v>
      </x:c>
      <x:c r="E58" s="43" t="n">
        <x:v>-7738.2503411</x:v>
      </x:c>
      <x:c r="F58" s="43" t="n">
        <x:v>2027</x:v>
      </x:c>
      <x:c r="G58" s="39"/>
      <x:c r="H58" s="39"/>
    </x:row>
    <x:row r="59">
      <x:c r="A59" s="43" t="str">
        <x:v>CF_ACQUISITION_PAYMENTS</x:v>
      </x:c>
      <x:c r="B59" s="43" t="str">
        <x:v>H3B_ATTEMPT005</x:v>
      </x:c>
      <x:c r="C59" s="43" t="str">
        <x:v>BASE</x:v>
      </x:c>
      <x:c r="D59" s="43" t="str">
        <x:v>RMB_MILLION</x:v>
      </x:c>
      <x:c r="E59" s="43" t="n">
        <x:v>0</x:v>
      </x:c>
      <x:c r="F59" s="43" t="n">
        <x:v>2028</x:v>
      </x:c>
      <x:c r="G59" s="39"/>
      <x:c r="H59" s="39"/>
    </x:row>
    <x:row r="60">
      <x:c r="A60" s="43" t="str">
        <x:v>CF_CAPEX</x:v>
      </x:c>
      <x:c r="B60" s="43" t="str">
        <x:v>H3B_ATTEMPT005</x:v>
      </x:c>
      <x:c r="C60" s="43" t="str">
        <x:v>BASE</x:v>
      </x:c>
      <x:c r="D60" s="43" t="str">
        <x:v>RMB_MILLION</x:v>
      </x:c>
      <x:c r="E60" s="43" t="n">
        <x:v>-10652.14441457</x:v>
      </x:c>
      <x:c r="F60" s="43" t="n">
        <x:v>2028</x:v>
      </x:c>
      <x:c r="G60" s="39"/>
      <x:c r="H60" s="39"/>
    </x:row>
    <x:row r="61">
      <x:c r="A61" s="43" t="str">
        <x:v>CF_CASH_FROM_SALES</x:v>
      </x:c>
      <x:c r="B61" s="43" t="str">
        <x:v>H3B_ATTEMPT005</x:v>
      </x:c>
      <x:c r="C61" s="43" t="str">
        <x:v>BASE</x:v>
      </x:c>
      <x:c r="D61" s="43" t="str">
        <x:v>RMB_MILLION</x:v>
      </x:c>
      <x:c r="E61" s="43" t="n">
        <x:v>559721.80264936</x:v>
      </x:c>
      <x:c r="F61" s="43" t="n">
        <x:v>2028</x:v>
      </x:c>
      <x:c r="G61" s="39"/>
      <x:c r="H61" s="39"/>
    </x:row>
    <x:row r="62">
      <x:c r="A62" s="43" t="str">
        <x:v>CF_CASH_TO_EMPLOYEES</x:v>
      </x:c>
      <x:c r="B62" s="43" t="str">
        <x:v>H3B_ATTEMPT005</x:v>
      </x:c>
      <x:c r="C62" s="43" t="str">
        <x:v>BASE</x:v>
      </x:c>
      <x:c r="D62" s="43" t="str">
        <x:v>RMB_MILLION</x:v>
      </x:c>
      <x:c r="E62" s="43" t="n">
        <x:v>-31897.21322352</x:v>
      </x:c>
      <x:c r="F62" s="43" t="n">
        <x:v>2028</x:v>
      </x:c>
      <x:c r="G62" s="39"/>
      <x:c r="H62" s="39"/>
    </x:row>
    <x:row r="63">
      <x:c r="A63" s="43" t="str">
        <x:v>CF_CASH_TO_SUPPLIERS</x:v>
      </x:c>
      <x:c r="B63" s="43" t="str">
        <x:v>H3B_ATTEMPT005</x:v>
      </x:c>
      <x:c r="C63" s="43" t="str">
        <x:v>BASE</x:v>
      </x:c>
      <x:c r="D63" s="43" t="str">
        <x:v>RMB_MILLION</x:v>
      </x:c>
      <x:c r="E63" s="43" t="n">
        <x:v>-416684.06360037</x:v>
      </x:c>
      <x:c r="F63" s="43" t="n">
        <x:v>2028</x:v>
      </x:c>
      <x:c r="G63" s="39"/>
      <x:c r="H63" s="39"/>
    </x:row>
    <x:row r="64">
      <x:c r="A64" s="43" t="str">
        <x:v>CF_CFF</x:v>
      </x:c>
      <x:c r="B64" s="43" t="str">
        <x:v>H3B_ATTEMPT005</x:v>
      </x:c>
      <x:c r="C64" s="43" t="str">
        <x:v>BASE</x:v>
      </x:c>
      <x:c r="D64" s="43" t="str">
        <x:v>RMB_MILLION</x:v>
      </x:c>
      <x:c r="E64" s="43" t="n">
        <x:v>-27897.40977384</x:v>
      </x:c>
      <x:c r="F64" s="43" t="n">
        <x:v>2028</x:v>
      </x:c>
      <x:c r="G64" s="39"/>
      <x:c r="H64" s="39"/>
    </x:row>
    <x:row r="65">
      <x:c r="A65" s="43" t="str">
        <x:v>CF_CFI</x:v>
      </x:c>
      <x:c r="B65" s="43" t="str">
        <x:v>H3B_ATTEMPT005</x:v>
      </x:c>
      <x:c r="C65" s="43" t="str">
        <x:v>BASE</x:v>
      </x:c>
      <x:c r="D65" s="43" t="str">
        <x:v>RMB_MILLION</x:v>
      </x:c>
      <x:c r="E65" s="43" t="n">
        <x:v>-27905.27809182</x:v>
      </x:c>
      <x:c r="F65" s="43" t="n">
        <x:v>2028</x:v>
      </x:c>
      <x:c r="G65" s="39"/>
      <x:c r="H65" s="39"/>
    </x:row>
    <x:row r="66">
      <x:c r="A66" s="43" t="str">
        <x:v>CF_CFO</x:v>
      </x:c>
      <x:c r="B66" s="43" t="str">
        <x:v>H3B_ATTEMPT005</x:v>
      </x:c>
      <x:c r="C66" s="43" t="str">
        <x:v>BASE</x:v>
      </x:c>
      <x:c r="D66" s="43" t="str">
        <x:v>RMB_MILLION</x:v>
      </x:c>
      <x:c r="E66" s="43" t="n">
        <x:v>69332.48342387</x:v>
      </x:c>
      <x:c r="F66" s="43" t="n">
        <x:v>2028</x:v>
      </x:c>
      <x:c r="G66" s="39"/>
      <x:c r="H66" s="39"/>
    </x:row>
    <x:row r="67">
      <x:c r="A67" s="43" t="str">
        <x:v>CF_CLOSING_CASH</x:v>
      </x:c>
      <x:c r="B67" s="43" t="str">
        <x:v>H3B_ATTEMPT005</x:v>
      </x:c>
      <x:c r="C67" s="43" t="str">
        <x:v>BASE</x:v>
      </x:c>
      <x:c r="D67" s="43" t="str">
        <x:v>RMB_MILLION</x:v>
      </x:c>
      <x:c r="E67" s="43" t="n">
        <x:v>103356.97844119</x:v>
      </x:c>
      <x:c r="F67" s="43" t="n">
        <x:v>2028</x:v>
      </x:c>
      <x:c r="G67" s="39"/>
      <x:c r="H67" s="39"/>
    </x:row>
    <x:row r="68">
      <x:c r="A68" s="43" t="str">
        <x:v>CF_DEBT_PROCEEDS</x:v>
      </x:c>
      <x:c r="B68" s="43" t="str">
        <x:v>H3B_ATTEMPT005</x:v>
      </x:c>
      <x:c r="C68" s="43" t="str">
        <x:v>BASE</x:v>
      </x:c>
      <x:c r="D68" s="43" t="str">
        <x:v>RMB_MILLION</x:v>
      </x:c>
      <x:c r="E68" s="43" t="n">
        <x:v>5371.44475044</x:v>
      </x:c>
      <x:c r="F68" s="43" t="n">
        <x:v>2028</x:v>
      </x:c>
      <x:c r="G68" s="39"/>
      <x:c r="H68" s="39"/>
    </x:row>
    <x:row r="69">
      <x:c r="A69" s="43" t="str">
        <x:v>CF_DEBT_REPAYMENTS</x:v>
      </x:c>
      <x:c r="B69" s="43" t="str">
        <x:v>H3B_ATTEMPT005</x:v>
      </x:c>
      <x:c r="C69" s="43" t="str">
        <x:v>BASE</x:v>
      </x:c>
      <x:c r="D69" s="43" t="str">
        <x:v>RMB_MILLION</x:v>
      </x:c>
      <x:c r="E69" s="43" t="n">
        <x:v>0</x:v>
      </x:c>
      <x:c r="F69" s="43" t="n">
        <x:v>2028</x:v>
      </x:c>
      <x:c r="G69" s="39"/>
      <x:c r="H69" s="39"/>
    </x:row>
    <x:row r="70">
      <x:c r="A70" s="43" t="str">
        <x:v>CF_DIVIDENDS_INTEREST</x:v>
      </x:c>
      <x:c r="B70" s="43" t="str">
        <x:v>H3B_ATTEMPT005</x:v>
      </x:c>
      <x:c r="C70" s="43" t="str">
        <x:v>BASE</x:v>
      </x:c>
      <x:c r="D70" s="43" t="str">
        <x:v>RMB_MILLION</x:v>
      </x:c>
      <x:c r="E70" s="43" t="n">
        <x:v>-36490.15691244</x:v>
      </x:c>
      <x:c r="F70" s="43" t="n">
        <x:v>2028</x:v>
      </x:c>
      <x:c r="G70" s="39"/>
      <x:c r="H70" s="39"/>
    </x:row>
    <x:row r="71">
      <x:c r="A71" s="43" t="str">
        <x:v>CF_FX_EFFECT</x:v>
      </x:c>
      <x:c r="B71" s="43" t="str">
        <x:v>H3B_ATTEMPT005</x:v>
      </x:c>
      <x:c r="C71" s="43" t="str">
        <x:v>BASE</x:v>
      </x:c>
      <x:c r="D71" s="43" t="str">
        <x:v>RMB_MILLION</x:v>
      </x:c>
      <x:c r="E71" s="43" t="n">
        <x:v>0</x:v>
      </x:c>
      <x:c r="F71" s="43" t="n">
        <x:v>2028</x:v>
      </x:c>
      <x:c r="G71" s="39"/>
      <x:c r="H71" s="39"/>
    </x:row>
    <x:row r="72">
      <x:c r="A72" s="43" t="str">
        <x:v>CF_INVESTMENT_PROCEEDS</x:v>
      </x:c>
      <x:c r="B72" s="43" t="str">
        <x:v>H3B_ATTEMPT005</x:v>
      </x:c>
      <x:c r="C72" s="43" t="str">
        <x:v>BASE</x:v>
      </x:c>
      <x:c r="D72" s="43" t="str">
        <x:v>RMB_MILLION</x:v>
      </x:c>
      <x:c r="E72" s="43" t="n">
        <x:v>0</x:v>
      </x:c>
      <x:c r="F72" s="43" t="n">
        <x:v>2028</x:v>
      </x:c>
      <x:c r="G72" s="39"/>
      <x:c r="H72" s="39"/>
    </x:row>
    <x:row r="73">
      <x:c r="A73" s="43" t="str">
        <x:v>CF_INVESTMENT_PURCHASES</x:v>
      </x:c>
      <x:c r="B73" s="43" t="str">
        <x:v>H3B_ATTEMPT005</x:v>
      </x:c>
      <x:c r="C73" s="43" t="str">
        <x:v>BASE</x:v>
      </x:c>
      <x:c r="D73" s="43" t="str">
        <x:v>RMB_MILLION</x:v>
      </x:c>
      <x:c r="E73" s="43" t="n">
        <x:v>0</x:v>
      </x:c>
      <x:c r="F73" s="43" t="n">
        <x:v>2028</x:v>
      </x:c>
      <x:c r="G73" s="39"/>
      <x:c r="H73" s="39"/>
    </x:row>
    <x:row r="74">
      <x:c r="A74" s="43" t="str">
        <x:v>CF_NET_CHANGE_CASH</x:v>
      </x:c>
      <x:c r="B74" s="43" t="str">
        <x:v>H3B_ATTEMPT005</x:v>
      </x:c>
      <x:c r="C74" s="43" t="str">
        <x:v>BASE</x:v>
      </x:c>
      <x:c r="D74" s="43" t="str">
        <x:v>RMB_MILLION</x:v>
      </x:c>
      <x:c r="E74" s="43" t="n">
        <x:v>13529.79555821</x:v>
      </x:c>
      <x:c r="F74" s="43" t="n">
        <x:v>2028</x:v>
      </x:c>
      <x:c r="G74" s="39"/>
      <x:c r="H74" s="39"/>
    </x:row>
    <x:row r="75">
      <x:c r="A75" s="43" t="str">
        <x:v>CF_OPENING_CASH</x:v>
      </x:c>
      <x:c r="B75" s="43" t="str">
        <x:v>H3B_ATTEMPT005</x:v>
      </x:c>
      <x:c r="C75" s="43" t="str">
        <x:v>BASE</x:v>
      </x:c>
      <x:c r="D75" s="43" t="str">
        <x:v>RMB_MILLION</x:v>
      </x:c>
      <x:c r="E75" s="43" t="n">
        <x:v>89827.18288298</x:v>
      </x:c>
      <x:c r="F75" s="43" t="n">
        <x:v>2028</x:v>
      </x:c>
      <x:c r="G75" s="39"/>
      <x:c r="H75" s="39"/>
    </x:row>
    <x:row r="76">
      <x:c r="A76" s="43" t="str">
        <x:v>CF_TAXES_PAID</x:v>
      </x:c>
      <x:c r="B76" s="43" t="str">
        <x:v>H3B_ATTEMPT005</x:v>
      </x:c>
      <x:c r="C76" s="43" t="str">
        <x:v>BASE</x:v>
      </x:c>
      <x:c r="D76" s="43" t="str">
        <x:v>RMB_MILLION</x:v>
      </x:c>
      <x:c r="E76" s="43" t="n">
        <x:v>-8180.58322323</x:v>
      </x:c>
      <x:c r="F76" s="43" t="n">
        <x:v>2028</x:v>
      </x:c>
      <x:c r="G76" s="39"/>
      <x:c r="H76" s="39"/>
    </x:row>
    <x:row r="77">
      <x:c r="A77" s="43" t="str">
        <x:v>CF_ACQUISITION_PAYMENTS</x:v>
      </x:c>
      <x:c r="B77" s="43" t="str">
        <x:v>H3B_ATTEMPT005</x:v>
      </x:c>
      <x:c r="C77" s="43" t="str">
        <x:v>BASE</x:v>
      </x:c>
      <x:c r="D77" s="43" t="str">
        <x:v>RMB_MILLION</x:v>
      </x:c>
      <x:c r="E77" s="43" t="n">
        <x:v>0</x:v>
      </x:c>
      <x:c r="F77" s="43" t="n">
        <x:v>2029</x:v>
      </x:c>
      <x:c r="G77" s="39"/>
      <x:c r="H77" s="39"/>
    </x:row>
    <x:row r="78">
      <x:c r="A78" s="43" t="str">
        <x:v>CF_CAPEX</x:v>
      </x:c>
      <x:c r="B78" s="43" t="str">
        <x:v>H3B_ATTEMPT005</x:v>
      </x:c>
      <x:c r="C78" s="43" t="str">
        <x:v>BASE</x:v>
      </x:c>
      <x:c r="D78" s="43" t="str">
        <x:v>RMB_MILLION</x:v>
      </x:c>
      <x:c r="E78" s="43" t="n">
        <x:v>-11704.85293981</x:v>
      </x:c>
      <x:c r="F78" s="43" t="n">
        <x:v>2029</x:v>
      </x:c>
      <x:c r="G78" s="39"/>
      <x:c r="H78" s="39"/>
    </x:row>
    <x:row r="79">
      <x:c r="A79" s="43" t="str">
        <x:v>CF_CASH_FROM_SALES</x:v>
      </x:c>
      <x:c r="B79" s="43" t="str">
        <x:v>H3B_ATTEMPT005</x:v>
      </x:c>
      <x:c r="C79" s="43" t="str">
        <x:v>BASE</x:v>
      </x:c>
      <x:c r="D79" s="43" t="str">
        <x:v>RMB_MILLION</x:v>
      </x:c>
      <x:c r="E79" s="43" t="n">
        <x:v>606756.10151209</x:v>
      </x:c>
      <x:c r="F79" s="43" t="n">
        <x:v>2029</x:v>
      </x:c>
      <x:c r="G79" s="39"/>
      <x:c r="H79" s="39"/>
    </x:row>
    <x:row r="80">
      <x:c r="A80" s="43" t="str">
        <x:v>CF_CASH_TO_EMPLOYEES</x:v>
      </x:c>
      <x:c r="B80" s="43" t="str">
        <x:v>H3B_ATTEMPT005</x:v>
      </x:c>
      <x:c r="C80" s="43" t="str">
        <x:v>BASE</x:v>
      </x:c>
      <x:c r="D80" s="43" t="str">
        <x:v>RMB_MILLION</x:v>
      </x:c>
      <x:c r="E80" s="43" t="n">
        <x:v>-34916.87505486</x:v>
      </x:c>
      <x:c r="F80" s="43" t="n">
        <x:v>2029</x:v>
      </x:c>
      <x:c r="G80" s="39"/>
      <x:c r="H80" s="39"/>
    </x:row>
    <x:row r="81">
      <x:c r="A81" s="43" t="str">
        <x:v>CF_CASH_TO_SUPPLIERS</x:v>
      </x:c>
      <x:c r="B81" s="43" t="str">
        <x:v>H3B_ATTEMPT005</x:v>
      </x:c>
      <x:c r="C81" s="43" t="str">
        <x:v>BASE</x:v>
      </x:c>
      <x:c r="D81" s="43" t="str">
        <x:v>RMB_MILLION</x:v>
      </x:c>
      <x:c r="E81" s="43" t="n">
        <x:v>-451281.43369569</x:v>
      </x:c>
      <x:c r="F81" s="43" t="n">
        <x:v>2029</x:v>
      </x:c>
      <x:c r="G81" s="39"/>
      <x:c r="H81" s="39"/>
    </x:row>
    <x:row r="82">
      <x:c r="A82" s="43" t="str">
        <x:v>CF_CFF</x:v>
      </x:c>
      <x:c r="B82" s="43" t="str">
        <x:v>H3B_ATTEMPT005</x:v>
      </x:c>
      <x:c r="C82" s="43" t="str">
        <x:v>BASE</x:v>
      </x:c>
      <x:c r="D82" s="43" t="str">
        <x:v>RMB_MILLION</x:v>
      </x:c>
      <x:c r="E82" s="43" t="n">
        <x:v>-29579.33146059</x:v>
      </x:c>
      <x:c r="F82" s="43" t="n">
        <x:v>2029</x:v>
      </x:c>
      <x:c r="G82" s="39"/>
      <x:c r="H82" s="39"/>
    </x:row>
    <x:row r="83">
      <x:c r="A83" s="43" t="str">
        <x:v>CF_CFI</x:v>
      </x:c>
      <x:c r="B83" s="43" t="str">
        <x:v>H3B_ATTEMPT005</x:v>
      </x:c>
      <x:c r="C83" s="43" t="str">
        <x:v>BASE</x:v>
      </x:c>
      <x:c r="D83" s="43" t="str">
        <x:v>RMB_MILLION</x:v>
      </x:c>
      <x:c r="E83" s="43" t="n">
        <x:v>-31262.88357696</x:v>
      </x:c>
      <x:c r="F83" s="43" t="n">
        <x:v>2029</x:v>
      </x:c>
      <x:c r="G83" s="39"/>
      <x:c r="H83" s="39"/>
    </x:row>
    <x:row r="84">
      <x:c r="A84" s="43" t="str">
        <x:v>CF_CFO</x:v>
      </x:c>
      <x:c r="B84" s="43" t="str">
        <x:v>H3B_ATTEMPT005</x:v>
      </x:c>
      <x:c r="C84" s="43" t="str">
        <x:v>BASE</x:v>
      </x:c>
      <x:c r="D84" s="43" t="str">
        <x:v>RMB_MILLION</x:v>
      </x:c>
      <x:c r="E84" s="43" t="n">
        <x:v>75477.03421218</x:v>
      </x:c>
      <x:c r="F84" s="43" t="n">
        <x:v>2029</x:v>
      </x:c>
      <x:c r="G84" s="39"/>
      <x:c r="H84" s="39"/>
    </x:row>
    <x:row r="85">
      <x:c r="A85" s="43" t="str">
        <x:v>CF_CLOSING_CASH</x:v>
      </x:c>
      <x:c r="B85" s="43" t="str">
        <x:v>H3B_ATTEMPT005</x:v>
      </x:c>
      <x:c r="C85" s="43" t="str">
        <x:v>BASE</x:v>
      </x:c>
      <x:c r="D85" s="43" t="str">
        <x:v>RMB_MILLION</x:v>
      </x:c>
      <x:c r="E85" s="43" t="n">
        <x:v>117991.79761582</x:v>
      </x:c>
      <x:c r="F85" s="43" t="n">
        <x:v>2029</x:v>
      </x:c>
      <x:c r="G85" s="39"/>
      <x:c r="H85" s="39"/>
    </x:row>
    <x:row r="86">
      <x:c r="A86" s="43" t="str">
        <x:v>CF_DEBT_PROCEEDS</x:v>
      </x:c>
      <x:c r="B86" s="43" t="str">
        <x:v>H3B_ATTEMPT005</x:v>
      </x:c>
      <x:c r="C86" s="43" t="str">
        <x:v>BASE</x:v>
      </x:c>
      <x:c r="D86" s="43" t="str">
        <x:v>RMB_MILLION</x:v>
      </x:c>
      <x:c r="E86" s="43" t="n">
        <x:v>6143.6734588</x:v>
      </x:c>
      <x:c r="F86" s="43" t="n">
        <x:v>2029</x:v>
      </x:c>
      <x:c r="G86" s="39"/>
      <x:c r="H86" s="39"/>
    </x:row>
    <x:row r="87">
      <x:c r="A87" s="43" t="str">
        <x:v>CF_DEBT_REPAYMENTS</x:v>
      </x:c>
      <x:c r="B87" s="43" t="str">
        <x:v>H3B_ATTEMPT005</x:v>
      </x:c>
      <x:c r="C87" s="43" t="str">
        <x:v>BASE</x:v>
      </x:c>
      <x:c r="D87" s="43" t="str">
        <x:v>RMB_MILLION</x:v>
      </x:c>
      <x:c r="E87" s="43" t="n">
        <x:v>0</x:v>
      </x:c>
      <x:c r="F87" s="43" t="n">
        <x:v>2029</x:v>
      </x:c>
      <x:c r="G87" s="39"/>
      <x:c r="H87" s="39"/>
    </x:row>
    <x:row r="88">
      <x:c r="A88" s="43" t="str">
        <x:v>CF_DIVIDENDS_INTEREST</x:v>
      </x:c>
      <x:c r="B88" s="43" t="str">
        <x:v>H3B_ATTEMPT005</x:v>
      </x:c>
      <x:c r="C88" s="43" t="str">
        <x:v>BASE</x:v>
      </x:c>
      <x:c r="D88" s="43" t="str">
        <x:v>RMB_MILLION</x:v>
      </x:c>
      <x:c r="E88" s="43" t="n">
        <x:v>-39186.44758941</x:v>
      </x:c>
      <x:c r="F88" s="43" t="n">
        <x:v>2029</x:v>
      </x:c>
      <x:c r="G88" s="39"/>
      <x:c r="H88" s="39"/>
    </x:row>
    <x:row r="89">
      <x:c r="A89" s="43" t="str">
        <x:v>CF_FX_EFFECT</x:v>
      </x:c>
      <x:c r="B89" s="43" t="str">
        <x:v>H3B_ATTEMPT005</x:v>
      </x:c>
      <x:c r="C89" s="43" t="str">
        <x:v>BASE</x:v>
      </x:c>
      <x:c r="D89" s="43" t="str">
        <x:v>RMB_MILLION</x:v>
      </x:c>
      <x:c r="E89" s="43" t="n">
        <x:v>0</x:v>
      </x:c>
      <x:c r="F89" s="43" t="n">
        <x:v>2029</x:v>
      </x:c>
      <x:c r="G89" s="39"/>
      <x:c r="H89" s="39"/>
    </x:row>
    <x:row r="90">
      <x:c r="A90" s="43" t="str">
        <x:v>CF_INVESTMENT_PROCEEDS</x:v>
      </x:c>
      <x:c r="B90" s="43" t="str">
        <x:v>H3B_ATTEMPT005</x:v>
      </x:c>
      <x:c r="C90" s="43" t="str">
        <x:v>BASE</x:v>
      </x:c>
      <x:c r="D90" s="43" t="str">
        <x:v>RMB_MILLION</x:v>
      </x:c>
      <x:c r="E90" s="43" t="n">
        <x:v>0</x:v>
      </x:c>
      <x:c r="F90" s="43" t="n">
        <x:v>2029</x:v>
      </x:c>
      <x:c r="G90" s="39"/>
      <x:c r="H90" s="39"/>
    </x:row>
    <x:row r="91">
      <x:c r="A91" s="43" t="str">
        <x:v>CF_INVESTMENT_PURCHASES</x:v>
      </x:c>
      <x:c r="B91" s="43" t="str">
        <x:v>H3B_ATTEMPT005</x:v>
      </x:c>
      <x:c r="C91" s="43" t="str">
        <x:v>BASE</x:v>
      </x:c>
      <x:c r="D91" s="43" t="str">
        <x:v>RMB_MILLION</x:v>
      </x:c>
      <x:c r="E91" s="43" t="n">
        <x:v>0</x:v>
      </x:c>
      <x:c r="F91" s="43" t="n">
        <x:v>2029</x:v>
      </x:c>
      <x:c r="G91" s="39"/>
      <x:c r="H91" s="39"/>
    </x:row>
    <x:row r="92">
      <x:c r="A92" s="43" t="str">
        <x:v>CF_NET_CHANGE_CASH</x:v>
      </x:c>
      <x:c r="B92" s="43" t="str">
        <x:v>H3B_ATTEMPT005</x:v>
      </x:c>
      <x:c r="C92" s="43" t="str">
        <x:v>BASE</x:v>
      </x:c>
      <x:c r="D92" s="43" t="str">
        <x:v>RMB_MILLION</x:v>
      </x:c>
      <x:c r="E92" s="43" t="n">
        <x:v>14634.81917463</x:v>
      </x:c>
      <x:c r="F92" s="43" t="n">
        <x:v>2029</x:v>
      </x:c>
      <x:c r="G92" s="39"/>
      <x:c r="H92" s="39"/>
    </x:row>
    <x:row r="93">
      <x:c r="A93" s="43" t="str">
        <x:v>CF_OPENING_CASH</x:v>
      </x:c>
      <x:c r="B93" s="43" t="str">
        <x:v>H3B_ATTEMPT005</x:v>
      </x:c>
      <x:c r="C93" s="43" t="str">
        <x:v>BASE</x:v>
      </x:c>
      <x:c r="D93" s="43" t="str">
        <x:v>RMB_MILLION</x:v>
      </x:c>
      <x:c r="E93" s="43" t="n">
        <x:v>103356.97844119</x:v>
      </x:c>
      <x:c r="F93" s="43" t="n">
        <x:v>2029</x:v>
      </x:c>
      <x:c r="G93" s="39"/>
      <x:c r="H93" s="39"/>
    </x:row>
    <x:row r="94">
      <x:c r="A94" s="43" t="str">
        <x:v>CF_TAXES_PAID</x:v>
      </x:c>
      <x:c r="B94" s="43" t="str">
        <x:v>H3B_ATTEMPT005</x:v>
      </x:c>
      <x:c r="C94" s="43" t="str">
        <x:v>BASE</x:v>
      </x:c>
      <x:c r="D94" s="43" t="str">
        <x:v>RMB_MILLION</x:v>
      </x:c>
      <x:c r="E94" s="43" t="n">
        <x:v>-8754.86549814</x:v>
      </x:c>
      <x:c r="F94" s="43" t="n">
        <x:v>2029</x:v>
      </x:c>
      <x:c r="G94" s="39"/>
      <x:c r="H94" s="39"/>
    </x:row>
    <x:row r="95">
      <x:c r="A95" s="43" t="str">
        <x:v>CF_ACQUISITION_PAYMENTS</x:v>
      </x:c>
      <x:c r="B95" s="43" t="str">
        <x:v>H3B_ATTEMPT005</x:v>
      </x:c>
      <x:c r="C95" s="43" t="str">
        <x:v>BASE</x:v>
      </x:c>
      <x:c r="D95" s="43" t="str">
        <x:v>RMB_MILLION</x:v>
      </x:c>
      <x:c r="E95" s="43" t="n">
        <x:v>0</x:v>
      </x:c>
      <x:c r="F95" s="43" t="n">
        <x:v>2030</x:v>
      </x:c>
      <x:c r="G95" s="39"/>
      <x:c r="H95" s="39"/>
    </x:row>
    <x:row r="96">
      <x:c r="A96" s="43" t="str">
        <x:v>CF_CAPEX</x:v>
      </x:c>
      <x:c r="B96" s="43" t="str">
        <x:v>H3B_ATTEMPT005</x:v>
      </x:c>
      <x:c r="C96" s="43" t="str">
        <x:v>BASE</x:v>
      </x:c>
      <x:c r="D96" s="43" t="str">
        <x:v>RMB_MILLION</x:v>
      </x:c>
      <x:c r="E96" s="43" t="n">
        <x:v>-12842.35639385</x:v>
      </x:c>
      <x:c r="F96" s="43" t="n">
        <x:v>2030</x:v>
      </x:c>
      <x:c r="G96" s="39"/>
      <x:c r="H96" s="39"/>
    </x:row>
    <x:row r="97">
      <x:c r="A97" s="43" t="str">
        <x:v>CF_CASH_FROM_SALES</x:v>
      </x:c>
      <x:c r="B97" s="43" t="str">
        <x:v>H3B_ATTEMPT005</x:v>
      </x:c>
      <x:c r="C97" s="43" t="str">
        <x:v>BASE</x:v>
      </x:c>
      <x:c r="D97" s="43" t="str">
        <x:v>RMB_MILLION</x:v>
      </x:c>
      <x:c r="E97" s="43" t="n">
        <x:v>659944.8494793</x:v>
      </x:c>
      <x:c r="F97" s="43" t="n">
        <x:v>2030</x:v>
      </x:c>
      <x:c r="G97" s="39"/>
      <x:c r="H97" s="39"/>
    </x:row>
    <x:row r="98">
      <x:c r="A98" s="43" t="str">
        <x:v>CF_CASH_TO_EMPLOYEES</x:v>
      </x:c>
      <x:c r="B98" s="43" t="str">
        <x:v>H3B_ATTEMPT005</x:v>
      </x:c>
      <x:c r="C98" s="43" t="str">
        <x:v>BASE</x:v>
      </x:c>
      <x:c r="D98" s="43" t="str">
        <x:v>RMB_MILLION</x:v>
      </x:c>
      <x:c r="E98" s="43" t="n">
        <x:v>-38217.55849798</x:v>
      </x:c>
      <x:c r="F98" s="43" t="n">
        <x:v>2030</x:v>
      </x:c>
      <x:c r="G98" s="39"/>
      <x:c r="H98" s="39"/>
    </x:row>
    <x:row r="99">
      <x:c r="A99" s="43" t="str">
        <x:v>CF_CASH_TO_SUPPLIERS</x:v>
      </x:c>
      <x:c r="B99" s="43" t="str">
        <x:v>H3B_ATTEMPT005</x:v>
      </x:c>
      <x:c r="C99" s="43" t="str">
        <x:v>BASE</x:v>
      </x:c>
      <x:c r="D99" s="43" t="str">
        <x:v>RMB_MILLION</x:v>
      </x:c>
      <x:c r="E99" s="43" t="n">
        <x:v>-490552.10757327</x:v>
      </x:c>
      <x:c r="F99" s="43" t="n">
        <x:v>2030</x:v>
      </x:c>
      <x:c r="G99" s="39"/>
      <x:c r="H99" s="39"/>
    </x:row>
    <x:row r="100">
      <x:c r="A100" s="43" t="str">
        <x:v>CF_CFF</x:v>
      </x:c>
      <x:c r="B100" s="43" t="str">
        <x:v>H3B_ATTEMPT005</x:v>
      </x:c>
      <x:c r="C100" s="43" t="str">
        <x:v>BASE</x:v>
      </x:c>
      <x:c r="D100" s="43" t="str">
        <x:v>RMB_MILLION</x:v>
      </x:c>
      <x:c r="E100" s="43" t="n">
        <x:v>-31736.01903639</x:v>
      </x:c>
      <x:c r="F100" s="43" t="n">
        <x:v>2030</x:v>
      </x:c>
      <x:c r="G100" s="39"/>
      <x:c r="H100" s="39"/>
    </x:row>
    <x:row r="101">
      <x:c r="A101" s="43" t="str">
        <x:v>CF_CFI</x:v>
      </x:c>
      <x:c r="B101" s="43" t="str">
        <x:v>H3B_ATTEMPT005</x:v>
      </x:c>
      <x:c r="C101" s="43" t="str">
        <x:v>BASE</x:v>
      </x:c>
      <x:c r="D101" s="43" t="str">
        <x:v>RMB_MILLION</x:v>
      </x:c>
      <x:c r="E101" s="43" t="n">
        <x:v>-34715.42018039</x:v>
      </x:c>
      <x:c r="F101" s="43" t="n">
        <x:v>2030</x:v>
      </x:c>
      <x:c r="G101" s="39"/>
      <x:c r="H101" s="39"/>
    </x:row>
    <x:row r="102">
      <x:c r="A102" s="43" t="str">
        <x:v>CF_CFO</x:v>
      </x:c>
      <x:c r="B102" s="43" t="str">
        <x:v>H3B_ATTEMPT005</x:v>
      </x:c>
      <x:c r="C102" s="43" t="str">
        <x:v>BASE</x:v>
      </x:c>
      <x:c r="D102" s="43" t="str">
        <x:v>RMB_MILLION</x:v>
      </x:c>
      <x:c r="E102" s="43" t="n">
        <x:v>82319.61914934</x:v>
      </x:c>
      <x:c r="F102" s="43" t="n">
        <x:v>2030</x:v>
      </x:c>
      <x:c r="G102" s="39"/>
      <x:c r="H102" s="39"/>
    </x:row>
    <x:row r="103">
      <x:c r="A103" s="43" t="str">
        <x:v>CF_CLOSING_CASH</x:v>
      </x:c>
      <x:c r="B103" s="43" t="str">
        <x:v>H3B_ATTEMPT005</x:v>
      </x:c>
      <x:c r="C103" s="43" t="str">
        <x:v>BASE</x:v>
      </x:c>
      <x:c r="D103" s="43" t="str">
        <x:v>RMB_MILLION</x:v>
      </x:c>
      <x:c r="E103" s="43" t="n">
        <x:v>133859.97754838</x:v>
      </x:c>
      <x:c r="F103" s="43" t="n">
        <x:v>2030</x:v>
      </x:c>
      <x:c r="G103" s="39"/>
      <x:c r="H103" s="39"/>
    </x:row>
    <x:row r="104">
      <x:c r="A104" s="43" t="str">
        <x:v>CF_DEBT_PROCEEDS</x:v>
      </x:c>
      <x:c r="B104" s="43" t="str">
        <x:v>H3B_ATTEMPT005</x:v>
      </x:c>
      <x:c r="C104" s="43" t="str">
        <x:v>BASE</x:v>
      </x:c>
      <x:c r="D104" s="43" t="str">
        <x:v>RMB_MILLION</x:v>
      </x:c>
      <x:c r="E104" s="43" t="n">
        <x:v>6903.3476533</x:v>
      </x:c>
      <x:c r="F104" s="43" t="n">
        <x:v>2030</x:v>
      </x:c>
      <x:c r="G104" s="39"/>
      <x:c r="H104" s="39"/>
    </x:row>
    <x:row r="105">
      <x:c r="A105" s="43" t="str">
        <x:v>CF_DEBT_REPAYMENTS</x:v>
      </x:c>
      <x:c r="B105" s="43" t="str">
        <x:v>H3B_ATTEMPT005</x:v>
      </x:c>
      <x:c r="C105" s="43" t="str">
        <x:v>BASE</x:v>
      </x:c>
      <x:c r="D105" s="43" t="str">
        <x:v>RMB_MILLION</x:v>
      </x:c>
      <x:c r="E105" s="43" t="n">
        <x:v>0</x:v>
      </x:c>
      <x:c r="F105" s="43" t="n">
        <x:v>2030</x:v>
      </x:c>
      <x:c r="G105" s="39"/>
      <x:c r="H105" s="39"/>
    </x:row>
    <x:row r="106">
      <x:c r="A106" s="43" t="str">
        <x:v>CF_DIVIDENDS_INTEREST</x:v>
      </x:c>
      <x:c r="B106" s="43" t="str">
        <x:v>H3B_ATTEMPT005</x:v>
      </x:c>
      <x:c r="C106" s="43" t="str">
        <x:v>BASE</x:v>
      </x:c>
      <x:c r="D106" s="43" t="str">
        <x:v>RMB_MILLION</x:v>
      </x:c>
      <x:c r="E106" s="43" t="n">
        <x:v>-42375.72484995</x:v>
      </x:c>
      <x:c r="F106" s="43" t="n">
        <x:v>2030</x:v>
      </x:c>
      <x:c r="G106" s="39"/>
      <x:c r="H106" s="39"/>
    </x:row>
    <x:row r="107">
      <x:c r="A107" s="43" t="str">
        <x:v>CF_FX_EFFECT</x:v>
      </x:c>
      <x:c r="B107" s="43" t="str">
        <x:v>H3B_ATTEMPT005</x:v>
      </x:c>
      <x:c r="C107" s="43" t="str">
        <x:v>BASE</x:v>
      </x:c>
      <x:c r="D107" s="43" t="str">
        <x:v>RMB_MILLION</x:v>
      </x:c>
      <x:c r="E107" s="43" t="n">
        <x:v>0</x:v>
      </x:c>
      <x:c r="F107" s="43" t="n">
        <x:v>2030</x:v>
      </x:c>
      <x:c r="G107" s="39"/>
      <x:c r="H107" s="39"/>
    </x:row>
    <x:row r="108">
      <x:c r="A108" s="43" t="str">
        <x:v>CF_INVESTMENT_PROCEEDS</x:v>
      </x:c>
      <x:c r="B108" s="43" t="str">
        <x:v>H3B_ATTEMPT005</x:v>
      </x:c>
      <x:c r="C108" s="43" t="str">
        <x:v>BASE</x:v>
      </x:c>
      <x:c r="D108" s="43" t="str">
        <x:v>RMB_MILLION</x:v>
      </x:c>
      <x:c r="E108" s="43" t="n">
        <x:v>0</x:v>
      </x:c>
      <x:c r="F108" s="43" t="n">
        <x:v>2030</x:v>
      </x:c>
      <x:c r="G108" s="39"/>
      <x:c r="H108" s="39"/>
    </x:row>
    <x:row r="109">
      <x:c r="A109" s="43" t="str">
        <x:v>CF_INVESTMENT_PURCHASES</x:v>
      </x:c>
      <x:c r="B109" s="43" t="str">
        <x:v>H3B_ATTEMPT005</x:v>
      </x:c>
      <x:c r="C109" s="43" t="str">
        <x:v>BASE</x:v>
      </x:c>
      <x:c r="D109" s="43" t="str">
        <x:v>RMB_MILLION</x:v>
      </x:c>
      <x:c r="E109" s="43" t="n">
        <x:v>0</x:v>
      </x:c>
      <x:c r="F109" s="43" t="n">
        <x:v>2030</x:v>
      </x:c>
      <x:c r="G109" s="39"/>
      <x:c r="H109" s="39"/>
    </x:row>
    <x:row r="110">
      <x:c r="A110" s="43" t="str">
        <x:v>CF_NET_CHANGE_CASH</x:v>
      </x:c>
      <x:c r="B110" s="43" t="str">
        <x:v>H3B_ATTEMPT005</x:v>
      </x:c>
      <x:c r="C110" s="43" t="str">
        <x:v>BASE</x:v>
      </x:c>
      <x:c r="D110" s="43" t="str">
        <x:v>RMB_MILLION</x:v>
      </x:c>
      <x:c r="E110" s="43" t="n">
        <x:v>15868.17993256</x:v>
      </x:c>
      <x:c r="F110" s="43" t="n">
        <x:v>2030</x:v>
      </x:c>
      <x:c r="G110" s="39"/>
      <x:c r="H110" s="39"/>
    </x:row>
    <x:row r="111">
      <x:c r="A111" s="43" t="str">
        <x:v>CF_OPENING_CASH</x:v>
      </x:c>
      <x:c r="B111" s="43" t="str">
        <x:v>H3B_ATTEMPT005</x:v>
      </x:c>
      <x:c r="C111" s="43" t="str">
        <x:v>BASE</x:v>
      </x:c>
      <x:c r="D111" s="43" t="str">
        <x:v>RMB_MILLION</x:v>
      </x:c>
      <x:c r="E111" s="43" t="n">
        <x:v>117991.79761582</x:v>
      </x:c>
      <x:c r="F111" s="43" t="n">
        <x:v>2030</x:v>
      </x:c>
      <x:c r="G111" s="39"/>
      <x:c r="H111" s="39"/>
    </x:row>
    <x:row r="112">
      <x:c r="A112" s="43" t="str">
        <x:v>CF_TAXES_PAID</x:v>
      </x:c>
      <x:c r="B112" s="43" t="str">
        <x:v>H3B_ATTEMPT005</x:v>
      </x:c>
      <x:c r="C112" s="43" t="str">
        <x:v>BASE</x:v>
      </x:c>
      <x:c r="D112" s="43" t="str">
        <x:v>RMB_MILLION</x:v>
      </x:c>
      <x:c r="E112" s="43" t="n">
        <x:v>-9449.31162129</x:v>
      </x:c>
      <x:c r="F112" s="43" t="n">
        <x:v>2030</x:v>
      </x:c>
      <x:c r="G112" s="39"/>
      <x:c r="H112" s="39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21" hidden="0" customWidth="1"/>
  </x:cols>
  <x:sheetData>
    <x:row r="1">
      <x:c r="A1" s="37" t="str">
        <x:v>Frozen Forecast Driver Authority</x:v>
      </x:c>
      <x:c r="B1" s="37"/>
      <x:c r="C1" s="37"/>
      <x:c r="D1" s="37"/>
      <x:c r="E1" s="37"/>
      <x:c r="F1" s="37"/>
      <x:c r="G1" s="37"/>
      <x:c r="H1" s="37"/>
    </x:row>
    <x:row r="2">
      <x:c r="A2" s="39"/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2" t="str">
        <x:v>Authority</x:v>
      </x:c>
      <x:c r="B4" s="42" t="str">
        <x:v>Status</x:v>
      </x:c>
      <x:c r="C4" s="39"/>
      <x:c r="D4" s="39"/>
      <x:c r="E4" s="39"/>
      <x:c r="F4" s="39"/>
      <x:c r="G4" s="39"/>
      <x:c r="H4" s="39"/>
    </x:row>
    <x:row r="5">
      <x:c r="A5" s="43" t="str">
        <x:v>Forecast-driver authority</x:v>
      </x:c>
      <x:c r="B5" s="43" t="str">
        <x:v>CERTIFIED</x:v>
      </x:c>
      <x:c r="C5" s="39"/>
      <x:c r="D5" s="39"/>
      <x:c r="E5" s="39"/>
      <x:c r="F5" s="39"/>
      <x:c r="G5" s="39"/>
      <x:c r="H5" s="39"/>
    </x:row>
    <x:row r="6">
      <x:c r="A6" s="43" t="str">
        <x:v>G25 mechanics</x:v>
      </x:c>
      <x:c r="B6" s="43" t="str">
        <x:v>CERTIFIED/FROZEN</x:v>
      </x:c>
      <x:c r="C6" s="39"/>
      <x:c r="D6" s="39"/>
      <x:c r="E6" s="39"/>
      <x:c r="F6" s="39"/>
      <x:c r="G6" s="39"/>
      <x:c r="H6" s="39"/>
    </x:row>
    <x:row r="7">
      <x:c r="A7" s="43" t="str">
        <x:v>H3-B</x:v>
      </x:c>
      <x:c r="B7" s="43" t="str">
        <x:v>ATTEMPT_005_R3_FROZEN</x:v>
      </x:c>
      <x:c r="C7" s="39"/>
      <x:c r="D7" s="39"/>
      <x:c r="E7" s="39"/>
      <x:c r="F7" s="39"/>
      <x:c r="G7" s="39"/>
      <x:c r="H7" s="39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.5" hidden="0" customWidth="1"/>
    <x:col min="2" max="2" width="14.380000114440918" hidden="0" customWidth="1"/>
    <x:col min="3" max="3" width="7.130000114440918" hidden="0" customWidth="1"/>
    <x:col min="4" max="4" width="11.5" hidden="0" customWidth="1"/>
    <x:col min="5" max="5" width="10.380000114440918" hidden="0" customWidth="1"/>
    <x:col min="6" max="6" width="4.25" hidden="0" customWidth="1"/>
  </x:cols>
  <x:sheetData>
    <x:row r="1">
      <x:c r="A1" s="37" t="str">
        <x:v>Revenue Forecast</x:v>
      </x:c>
      <x:c r="B1" s="37"/>
      <x:c r="C1" s="37"/>
      <x:c r="D1" s="37"/>
      <x:c r="E1" s="37"/>
      <x:c r="F1" s="37"/>
      <x:c r="G1" s="37"/>
      <x:c r="H1" s="37"/>
    </x:row>
    <x:row r="2">
      <x:c r="A2" s="39"/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2" t="str">
        <x:v>Metric_ID</x:v>
      </x:c>
      <x:c r="B4" s="42" t="str">
        <x:v>Owner</x:v>
      </x:c>
      <x:c r="C4" s="42" t="str">
        <x:v>Scenario</x:v>
      </x:c>
      <x:c r="D4" s="42" t="str">
        <x:v>Unit</x:v>
      </x:c>
      <x:c r="E4" s="42" t="str">
        <x:v>Value</x:v>
      </x:c>
      <x:c r="F4" s="42" t="str">
        <x:v>Year</x:v>
      </x:c>
      <x:c r="G4" s="39"/>
      <x:c r="H4" s="39"/>
    </x:row>
    <x:row r="5">
      <x:c r="A5" s="43" t="str">
        <x:v>IS_OPERATING_REVENUE</x:v>
      </x:c>
      <x:c r="B5" s="43" t="str">
        <x:v>H1_CERTIFIED</x:v>
      </x:c>
      <x:c r="C5" s="43" t="str">
        <x:v>BASE</x:v>
      </x:c>
      <x:c r="D5" s="43" t="str">
        <x:v>RMB_MILLION</x:v>
      </x:c>
      <x:c r="E5" s="43" t="n">
        <x:v>456451.731</x:v>
      </x:c>
      <x:c r="F5" s="43" t="n">
        <x:v>2025</x:v>
      </x:c>
      <x:c r="G5" s="39"/>
      <x:c r="H5" s="39"/>
    </x:row>
    <x:row r="6">
      <x:c r="A6" s="43" t="str">
        <x:v>IS_OPERATING_REVENUE</x:v>
      </x:c>
      <x:c r="B6" s="43" t="str">
        <x:v>H3B_ATTEMPT005</x:v>
      </x:c>
      <x:c r="C6" s="43" t="str">
        <x:v>BASE</x:v>
      </x:c>
      <x:c r="D6" s="43" t="str">
        <x:v>RMB_MILLION</x:v>
      </x:c>
      <x:c r="E6" s="43" t="n">
        <x:v>485985.02041372</x:v>
      </x:c>
      <x:c r="F6" s="43" t="n">
        <x:v>2026</x:v>
      </x:c>
      <x:c r="G6" s="39"/>
      <x:c r="H6" s="39"/>
    </x:row>
    <x:row r="7">
      <x:c r="A7" s="43" t="str">
        <x:v>IS_OPERATING_REVENUE</x:v>
      </x:c>
      <x:c r="B7" s="43" t="str">
        <x:v>H3B_ATTEMPT005</x:v>
      </x:c>
      <x:c r="C7" s="43" t="str">
        <x:v>BASE</x:v>
      </x:c>
      <x:c r="D7" s="43" t="str">
        <x:v>RMB_MILLION</x:v>
      </x:c>
      <x:c r="E7" s="43" t="n">
        <x:v>520972.7562517</x:v>
      </x:c>
      <x:c r="F7" s="43" t="n">
        <x:v>2027</x:v>
      </x:c>
      <x:c r="G7" s="39"/>
      <x:c r="H7" s="39"/>
    </x:row>
    <x:row r="8">
      <x:c r="A8" s="43" t="str">
        <x:v>IS_OPERATING_REVENUE</x:v>
      </x:c>
      <x:c r="B8" s="43" t="str">
        <x:v>H3B_ATTEMPT005</x:v>
      </x:c>
      <x:c r="C8" s="43" t="str">
        <x:v>BASE</x:v>
      </x:c>
      <x:c r="D8" s="43" t="str">
        <x:v>RMB_MILLION</x:v>
      </x:c>
      <x:c r="E8" s="43" t="n">
        <x:v>562561.08082174</x:v>
      </x:c>
      <x:c r="F8" s="43" t="n">
        <x:v>2028</x:v>
      </x:c>
      <x:c r="G8" s="39"/>
      <x:c r="H8" s="39"/>
    </x:row>
    <x:row r="9">
      <x:c r="A9" s="43" t="str">
        <x:v>IS_OPERATING_REVENUE</x:v>
      </x:c>
      <x:c r="B9" s="43" t="str">
        <x:v>H3B_ATTEMPT005</x:v>
      </x:c>
      <x:c r="C9" s="43" t="str">
        <x:v>BASE</x:v>
      </x:c>
      <x:c r="D9" s="43" t="str">
        <x:v>RMB_MILLION</x:v>
      </x:c>
      <x:c r="E9" s="43" t="n">
        <x:v>610334.22550481</x:v>
      </x:c>
      <x:c r="F9" s="43" t="n">
        <x:v>2029</x:v>
      </x:c>
      <x:c r="G9" s="39"/>
      <x:c r="H9" s="39"/>
    </x:row>
    <x:row r="10">
      <x:c r="A10" s="43" t="str">
        <x:v>IS_OPERATING_REVENUE</x:v>
      </x:c>
      <x:c r="B10" s="43" t="str">
        <x:v>H3B_ATTEMPT005</x:v>
      </x:c>
      <x:c r="C10" s="43" t="str">
        <x:v>BASE</x:v>
      </x:c>
      <x:c r="D10" s="43" t="str">
        <x:v>RMB_MILLION</x:v>
      </x:c>
      <x:c r="E10" s="43" t="n">
        <x:v>664184.62663046</x:v>
      </x:c>
      <x:c r="F10" s="43" t="n">
        <x:v>2030</x:v>
      </x:c>
      <x:c r="G10" s="39"/>
      <x:c r="H10" s="39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4.380000114440918" hidden="0" customWidth="1"/>
    <x:col min="3" max="3" width="7.130000114440918" hidden="0" customWidth="1"/>
    <x:col min="4" max="4" width="13.75" hidden="0" customWidth="1"/>
    <x:col min="5" max="5" width="10.880000114440918" hidden="0" customWidth="1"/>
    <x:col min="6" max="6" width="4.25" hidden="0" customWidth="1"/>
  </x:cols>
  <x:sheetData>
    <x:row r="1">
      <x:c r="A1" s="37" t="str">
        <x:v>Income Statement</x:v>
      </x:c>
      <x:c r="B1" s="37"/>
      <x:c r="C1" s="37"/>
      <x:c r="D1" s="37"/>
      <x:c r="E1" s="37"/>
      <x:c r="F1" s="37"/>
      <x:c r="G1" s="37"/>
      <x:c r="H1" s="37"/>
    </x:row>
    <x:row r="2">
      <x:c r="A2" s="39"/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2" t="str">
        <x:v>Metric_ID</x:v>
      </x:c>
      <x:c r="B4" s="42" t="str">
        <x:v>Owner</x:v>
      </x:c>
      <x:c r="C4" s="42" t="str">
        <x:v>Scenario</x:v>
      </x:c>
      <x:c r="D4" s="42" t="str">
        <x:v>Unit</x:v>
      </x:c>
      <x:c r="E4" s="42" t="str">
        <x:v>Value</x:v>
      </x:c>
      <x:c r="F4" s="42" t="str">
        <x:v>Year</x:v>
      </x:c>
      <x:c r="G4" s="39"/>
      <x:c r="H4" s="39"/>
    </x:row>
    <x:row r="5">
      <x:c r="A5" s="43" t="str">
        <x:v>IS_ADJUSTED_ATTRIBUTABLE_NI</x:v>
      </x:c>
      <x:c r="B5" s="43" t="str">
        <x:v>H1_CERTIFIED</x:v>
      </x:c>
      <x:c r="C5" s="43" t="str">
        <x:v>BASE</x:v>
      </x:c>
      <x:c r="D5" s="43" t="str">
        <x:v>RMB_MILLION</x:v>
      </x:c>
      <x:c r="E5" s="43" t="n">
        <x:v>41267.233</x:v>
      </x:c>
      <x:c r="F5" s="43" t="n">
        <x:v>2025</x:v>
      </x:c>
      <x:c r="G5" s="39"/>
      <x:c r="H5" s="39"/>
    </x:row>
    <x:row r="6">
      <x:c r="A6" s="43" t="str">
        <x:v>IS_ADMIN_EXPENSE</x:v>
      </x:c>
      <x:c r="B6" s="43" t="str">
        <x:v>H1_CERTIFIED</x:v>
      </x:c>
      <x:c r="C6" s="43" t="str">
        <x:v>BASE</x:v>
      </x:c>
      <x:c r="D6" s="43" t="str">
        <x:v>RMB_MILLION</x:v>
      </x:c>
      <x:c r="E6" s="43" t="n">
        <x:v>-16092.311</x:v>
      </x:c>
      <x:c r="F6" s="43" t="n">
        <x:v>2025</x:v>
      </x:c>
      <x:c r="G6" s="39"/>
      <x:c r="H6" s="39"/>
    </x:row>
    <x:row r="7">
      <x:c r="A7" s="43" t="str">
        <x:v>IS_ASSET_DISPOSAL</x:v>
      </x:c>
      <x:c r="B7" s="43" t="str">
        <x:v>H1_CERTIFIED</x:v>
      </x:c>
      <x:c r="C7" s="43" t="str">
        <x:v>BASE</x:v>
      </x:c>
      <x:c r="D7" s="43" t="str">
        <x:v>RMB_MILLION</x:v>
      </x:c>
      <x:c r="E7" s="43" t="n">
        <x:v>-76.024</x:v>
      </x:c>
      <x:c r="F7" s="43" t="n">
        <x:v>2025</x:v>
      </x:c>
      <x:c r="G7" s="39"/>
      <x:c r="H7" s="39"/>
    </x:row>
    <x:row r="8">
      <x:c r="A8" s="43" t="str">
        <x:v>IS_ASSET_IMPAIRMENT</x:v>
      </x:c>
      <x:c r="B8" s="43" t="str">
        <x:v>H1_CERTIFIED</x:v>
      </x:c>
      <x:c r="C8" s="43" t="str">
        <x:v>BASE</x:v>
      </x:c>
      <x:c r="D8" s="43" t="str">
        <x:v>RMB_MILLION</x:v>
      </x:c>
      <x:c r="E8" s="43" t="n">
        <x:v>-1156.469</x:v>
      </x:c>
      <x:c r="F8" s="43" t="n">
        <x:v>2025</x:v>
      </x:c>
      <x:c r="G8" s="39"/>
      <x:c r="H8" s="39"/>
    </x:row>
    <x:row r="9">
      <x:c r="A9" s="43" t="str">
        <x:v>IS_ATTRIBUTABLE_NI</x:v>
      </x:c>
      <x:c r="B9" s="43" t="str">
        <x:v>H1_CERTIFIED</x:v>
      </x:c>
      <x:c r="C9" s="43" t="str">
        <x:v>BASE</x:v>
      </x:c>
      <x:c r="D9" s="43" t="str">
        <x:v>RMB_MILLION</x:v>
      </x:c>
      <x:c r="E9" s="43" t="n">
        <x:v>43945.411</x:v>
      </x:c>
      <x:c r="F9" s="43" t="n">
        <x:v>2025</x:v>
      </x:c>
      <x:c r="G9" s="39"/>
      <x:c r="H9" s="39"/>
    </x:row>
    <x:row r="10">
      <x:c r="A10" s="43" t="str">
        <x:v>IS_BASIC_EPS</x:v>
      </x:c>
      <x:c r="B10" s="43" t="str">
        <x:v>H1_CERTIFIED</x:v>
      </x:c>
      <x:c r="C10" s="43" t="str">
        <x:v>BASE</x:v>
      </x:c>
      <x:c r="D10" s="43" t="str">
        <x:v>RMB_PER_SHARE</x:v>
      </x:c>
      <x:c r="E10" s="43" t="n">
        <x:v>5.8</x:v>
      </x:c>
      <x:c r="F10" s="43" t="n">
        <x:v>2025</x:v>
      </x:c>
      <x:c r="G10" s="39"/>
      <x:c r="H10" s="39"/>
    </x:row>
    <x:row r="11">
      <x:c r="A11" s="43" t="str">
        <x:v>IS_CREDIT_IMPAIRMENT</x:v>
      </x:c>
      <x:c r="B11" s="43" t="str">
        <x:v>H1_CERTIFIED</x:v>
      </x:c>
      <x:c r="C11" s="43" t="str">
        <x:v>BASE</x:v>
      </x:c>
      <x:c r="D11" s="43" t="str">
        <x:v>RMB_MILLION</x:v>
      </x:c>
      <x:c r="E11" s="43" t="n">
        <x:v>-355.86</x:v>
      </x:c>
      <x:c r="F11" s="43" t="n">
        <x:v>2025</x:v>
      </x:c>
      <x:c r="G11" s="39"/>
      <x:c r="H11" s="39"/>
    </x:row>
    <x:row r="12">
      <x:c r="A12" s="43" t="str">
        <x:v>IS_DILUTED_EPS</x:v>
      </x:c>
      <x:c r="B12" s="43" t="str">
        <x:v>H1_CERTIFIED</x:v>
      </x:c>
      <x:c r="C12" s="43" t="str">
        <x:v>BASE</x:v>
      </x:c>
      <x:c r="D12" s="43" t="str">
        <x:v>RMB_PER_SHARE</x:v>
      </x:c>
      <x:c r="E12" s="43" t="n">
        <x:v>5.76</x:v>
      </x:c>
      <x:c r="F12" s="43" t="n">
        <x:v>2025</x:v>
      </x:c>
      <x:c r="G12" s="39"/>
      <x:c r="H12" s="39"/>
    </x:row>
    <x:row r="13">
      <x:c r="A13" s="43" t="str">
        <x:v>IS_FAIR_VALUE_CHANGE</x:v>
      </x:c>
      <x:c r="B13" s="43" t="str">
        <x:v>H1_CERTIFIED</x:v>
      </x:c>
      <x:c r="C13" s="43" t="str">
        <x:v>BASE</x:v>
      </x:c>
      <x:c r="D13" s="43" t="str">
        <x:v>RMB_MILLION</x:v>
      </x:c>
      <x:c r="E13" s="43" t="n">
        <x:v>782.358</x:v>
      </x:c>
      <x:c r="F13" s="43" t="n">
        <x:v>2025</x:v>
      </x:c>
      <x:c r="G13" s="39"/>
      <x:c r="H13" s="39"/>
    </x:row>
    <x:row r="14">
      <x:c r="A14" s="43" t="str">
        <x:v>IS_FEE_COMMISSION_EXPENSE</x:v>
      </x:c>
      <x:c r="B14" s="43" t="str">
        <x:v>H1_CERTIFIED</x:v>
      </x:c>
      <x:c r="C14" s="43" t="str">
        <x:v>BASE</x:v>
      </x:c>
      <x:c r="D14" s="43" t="str">
        <x:v>RMB_MILLION</x:v>
      </x:c>
      <x:c r="E14" s="43" t="n">
        <x:v>-1.642</x:v>
      </x:c>
      <x:c r="F14" s="43" t="n">
        <x:v>2025</x:v>
      </x:c>
      <x:c r="G14" s="39"/>
      <x:c r="H14" s="39"/>
    </x:row>
    <x:row r="15">
      <x:c r="A15" s="43" t="str">
        <x:v>IS_FEE_COMMISSION_INCOME</x:v>
      </x:c>
      <x:c r="B15" s="43" t="str">
        <x:v>H1_CERTIFIED</x:v>
      </x:c>
      <x:c r="C15" s="43" t="str">
        <x:v>BASE</x:v>
      </x:c>
      <x:c r="D15" s="43" t="str">
        <x:v>RMB_MILLION</x:v>
      </x:c>
      <x:c r="E15" s="43" t="n">
        <x:v>0.508</x:v>
      </x:c>
      <x:c r="F15" s="43" t="n">
        <x:v>2025</x:v>
      </x:c>
      <x:c r="G15" s="39"/>
      <x:c r="H15" s="39"/>
    </x:row>
    <x:row r="16">
      <x:c r="A16" s="43" t="str">
        <x:v>IS_FINANCE_INTEREST_INCOME</x:v>
      </x:c>
      <x:c r="B16" s="43" t="str">
        <x:v>H1_CERTIFIED</x:v>
      </x:c>
      <x:c r="C16" s="43" t="str">
        <x:v>BASE</x:v>
      </x:c>
      <x:c r="D16" s="43" t="str">
        <x:v>RMB_MILLION</x:v>
      </x:c>
      <x:c r="E16" s="43" t="n">
        <x:v>8444.301</x:v>
      </x:c>
      <x:c r="F16" s="43" t="n">
        <x:v>2025</x:v>
      </x:c>
      <x:c r="G16" s="39"/>
      <x:c r="H16" s="39"/>
    </x:row>
    <x:row r="17">
      <x:c r="A17" s="43" t="str">
        <x:v>IS_FINANCE_RESULT</x:v>
      </x:c>
      <x:c r="B17" s="43" t="str">
        <x:v>H1_CERTIFIED</x:v>
      </x:c>
      <x:c r="C17" s="43" t="str">
        <x:v>BASE</x:v>
      </x:c>
      <x:c r="D17" s="43" t="str">
        <x:v>RMB_MILLION</x:v>
      </x:c>
      <x:c r="E17" s="43" t="n">
        <x:v>5903.546</x:v>
      </x:c>
      <x:c r="F17" s="43" t="n">
        <x:v>2025</x:v>
      </x:c>
      <x:c r="G17" s="39"/>
      <x:c r="H17" s="39"/>
    </x:row>
    <x:row r="18">
      <x:c r="A18" s="43" t="str">
        <x:v>IS_FINANCIAL_BUSINESS_INTEREST_COST</x:v>
      </x:c>
      <x:c r="B18" s="43" t="str">
        <x:v>H1_CERTIFIED</x:v>
      </x:c>
      <x:c r="C18" s="43" t="str">
        <x:v>BASE</x:v>
      </x:c>
      <x:c r="D18" s="43" t="str">
        <x:v>RMB_MILLION</x:v>
      </x:c>
      <x:c r="E18" s="43" t="n">
        <x:v>-0.275</x:v>
      </x:c>
      <x:c r="F18" s="43" t="n">
        <x:v>2025</x:v>
      </x:c>
      <x:c r="G18" s="39"/>
      <x:c r="H18" s="39"/>
    </x:row>
    <x:row r="19">
      <x:c r="A19" s="43" t="str">
        <x:v>IS_FINANCIAL_BUSINESS_INTEREST_INCOME</x:v>
      </x:c>
      <x:c r="B19" s="43" t="str">
        <x:v>H1_CERTIFIED</x:v>
      </x:c>
      <x:c r="C19" s="43" t="str">
        <x:v>BASE</x:v>
      </x:c>
      <x:c r="D19" s="43" t="str">
        <x:v>RMB_MILLION</x:v>
      </x:c>
      <x:c r="E19" s="43" t="n">
        <x:v>2050.168</x:v>
      </x:c>
      <x:c r="F19" s="43" t="n">
        <x:v>2025</x:v>
      </x:c>
      <x:c r="G19" s="39"/>
      <x:c r="H19" s="39"/>
    </x:row>
    <x:row r="20">
      <x:c r="A20" s="43" t="str">
        <x:v>IS_FINANCING_INTEREST_EXPENSE</x:v>
      </x:c>
      <x:c r="B20" s="43" t="str">
        <x:v>H1_CERTIFIED</x:v>
      </x:c>
      <x:c r="C20" s="43" t="str">
        <x:v>BASE</x:v>
      </x:c>
      <x:c r="D20" s="43" t="str">
        <x:v>RMB_MILLION</x:v>
      </x:c>
      <x:c r="E20" s="43" t="n">
        <x:v>-2211.331</x:v>
      </x:c>
      <x:c r="F20" s="43" t="n">
        <x:v>2025</x:v>
      </x:c>
      <x:c r="G20" s="39"/>
      <x:c r="H20" s="39"/>
    </x:row>
    <x:row r="21">
      <x:c r="A21" s="43" t="str">
        <x:v>IS_INCOME_TAX</x:v>
      </x:c>
      <x:c r="B21" s="43" t="str">
        <x:v>H1_CERTIFIED</x:v>
      </x:c>
      <x:c r="C21" s="43" t="str">
        <x:v>BASE</x:v>
      </x:c>
      <x:c r="D21" s="43" t="str">
        <x:v>RMB_MILLION</x:v>
      </x:c>
      <x:c r="E21" s="43" t="n">
        <x:v>-8565.147</x:v>
      </x:c>
      <x:c r="F21" s="43" t="n">
        <x:v>2025</x:v>
      </x:c>
      <x:c r="G21" s="39"/>
      <x:c r="H21" s="39"/>
    </x:row>
    <x:row r="22">
      <x:c r="A22" s="43" t="str">
        <x:v>IS_INVESTMENT_INCOME</x:v>
      </x:c>
      <x:c r="B22" s="43" t="str">
        <x:v>H1_CERTIFIED</x:v>
      </x:c>
      <x:c r="C22" s="43" t="str">
        <x:v>BASE</x:v>
      </x:c>
      <x:c r="D22" s="43" t="str">
        <x:v>RMB_MILLION</x:v>
      </x:c>
      <x:c r="E22" s="43" t="n">
        <x:v>1694.661</x:v>
      </x:c>
      <x:c r="F22" s="43" t="n">
        <x:v>2025</x:v>
      </x:c>
      <x:c r="G22" s="39"/>
      <x:c r="H22" s="39"/>
    </x:row>
    <x:row r="23">
      <x:c r="A23" s="43" t="str">
        <x:v>IS_NCI_PROFIT</x:v>
      </x:c>
      <x:c r="B23" s="43" t="str">
        <x:v>H1_CERTIFIED</x:v>
      </x:c>
      <x:c r="C23" s="43" t="str">
        <x:v>BASE</x:v>
      </x:c>
      <x:c r="D23" s="43" t="str">
        <x:v>RMB_MILLION</x:v>
      </x:c>
      <x:c r="E23" s="43" t="n">
        <x:v>574.785</x:v>
      </x:c>
      <x:c r="F23" s="43" t="n">
        <x:v>2025</x:v>
      </x:c>
      <x:c r="G23" s="39"/>
      <x:c r="H23" s="39"/>
    </x:row>
    <x:row r="24">
      <x:c r="A24" s="43" t="str">
        <x:v>IS_NET_PROFIT</x:v>
      </x:c>
      <x:c r="B24" s="43" t="str">
        <x:v>H1_CERTIFIED</x:v>
      </x:c>
      <x:c r="C24" s="43" t="str">
        <x:v>BASE</x:v>
      </x:c>
      <x:c r="D24" s="43" t="str">
        <x:v>RMB_MILLION</x:v>
      </x:c>
      <x:c r="E24" s="43" t="n">
        <x:v>44520.196</x:v>
      </x:c>
      <x:c r="F24" s="43" t="n">
        <x:v>2025</x:v>
      </x:c>
      <x:c r="G24" s="39"/>
      <x:c r="H24" s="39"/>
    </x:row>
    <x:row r="25">
      <x:c r="A25" s="43" t="str">
        <x:v>IS_OPERATING_COST</x:v>
      </x:c>
      <x:c r="B25" s="43" t="str">
        <x:v>H1_CERTIFIED</x:v>
      </x:c>
      <x:c r="C25" s="43" t="str">
        <x:v>BASE</x:v>
      </x:c>
      <x:c r="D25" s="43" t="str">
        <x:v>RMB_MILLION</x:v>
      </x:c>
      <x:c r="E25" s="43" t="n">
        <x:v>-335989.528</x:v>
      </x:c>
      <x:c r="F25" s="43" t="n">
        <x:v>2025</x:v>
      </x:c>
      <x:c r="G25" s="39"/>
      <x:c r="H25" s="39"/>
    </x:row>
    <x:row r="26">
      <x:c r="A26" s="43" t="str">
        <x:v>IS_OPERATING_PROFIT</x:v>
      </x:c>
      <x:c r="B26" s="43" t="str">
        <x:v>H1_CERTIFIED</x:v>
      </x:c>
      <x:c r="C26" s="43" t="str">
        <x:v>BASE</x:v>
      </x:c>
      <x:c r="D26" s="43" t="str">
        <x:v>RMB_MILLION</x:v>
      </x:c>
      <x:c r="E26" s="43" t="n">
        <x:v>52978.773</x:v>
      </x:c>
      <x:c r="F26" s="43" t="n">
        <x:v>2025</x:v>
      </x:c>
      <x:c r="G26" s="39"/>
      <x:c r="H26" s="39"/>
    </x:row>
    <x:row r="27">
      <x:c r="A27" s="43" t="str">
        <x:v>IS_OPERATING_REVENUE</x:v>
      </x:c>
      <x:c r="B27" s="43" t="str">
        <x:v>H1_CERTIFIED</x:v>
      </x:c>
      <x:c r="C27" s="43" t="str">
        <x:v>BASE</x:v>
      </x:c>
      <x:c r="D27" s="43" t="str">
        <x:v>RMB_MILLION</x:v>
      </x:c>
      <x:c r="E27" s="43" t="n">
        <x:v>456451.731</x:v>
      </x:c>
      <x:c r="F27" s="43" t="n">
        <x:v>2025</x:v>
      </x:c>
      <x:c r="G27" s="39"/>
      <x:c r="H27" s="39"/>
    </x:row>
    <x:row r="28">
      <x:c r="A28" s="43" t="str">
        <x:v>IS_OTHER_INCOME</x:v>
      </x:c>
      <x:c r="B28" s="43" t="str">
        <x:v>H1_CERTIFIED</x:v>
      </x:c>
      <x:c r="C28" s="43" t="str">
        <x:v>BASE</x:v>
      </x:c>
      <x:c r="D28" s="43" t="str">
        <x:v>RMB_MILLION</x:v>
      </x:c>
      <x:c r="E28" s="43" t="n">
        <x:v>2664.313</x:v>
      </x:c>
      <x:c r="F28" s="43" t="n">
        <x:v>2025</x:v>
      </x:c>
      <x:c r="G28" s="39"/>
      <x:c r="H28" s="39"/>
    </x:row>
    <x:row r="29">
      <x:c r="A29" s="43" t="str">
        <x:v>IS_PBT</x:v>
      </x:c>
      <x:c r="B29" s="43" t="str">
        <x:v>H1_CERTIFIED</x:v>
      </x:c>
      <x:c r="C29" s="43" t="str">
        <x:v>BASE</x:v>
      </x:c>
      <x:c r="D29" s="43" t="str">
        <x:v>RMB_MILLION</x:v>
      </x:c>
      <x:c r="E29" s="43" t="n">
        <x:v>53085.343</x:v>
      </x:c>
      <x:c r="F29" s="43" t="n">
        <x:v>2025</x:v>
      </x:c>
      <x:c r="G29" s="39"/>
      <x:c r="H29" s="39"/>
    </x:row>
    <x:row r="30">
      <x:c r="A30" s="43" t="str">
        <x:v>IS_RD_EXPENSE</x:v>
      </x:c>
      <x:c r="B30" s="43" t="str">
        <x:v>H1_CERTIFIED</x:v>
      </x:c>
      <x:c r="C30" s="43" t="str">
        <x:v>BASE</x:v>
      </x:c>
      <x:c r="D30" s="43" t="str">
        <x:v>RMB_MILLION</x:v>
      </x:c>
      <x:c r="E30" s="43" t="n">
        <x:v>-17787.624</x:v>
      </x:c>
      <x:c r="F30" s="43" t="n">
        <x:v>2025</x:v>
      </x:c>
      <x:c r="G30" s="39"/>
      <x:c r="H30" s="39"/>
    </x:row>
    <x:row r="31">
      <x:c r="A31" s="43" t="str">
        <x:v>IS_SELLING_EXPENSE</x:v>
      </x:c>
      <x:c r="B31" s="43" t="str">
        <x:v>H1_CERTIFIED</x:v>
      </x:c>
      <x:c r="C31" s="43" t="str">
        <x:v>BASE</x:v>
      </x:c>
      <x:c r="D31" s="43" t="str">
        <x:v>RMB_MILLION</x:v>
      </x:c>
      <x:c r="E31" s="43" t="n">
        <x:v>-42891.49</x:v>
      </x:c>
      <x:c r="F31" s="43" t="n">
        <x:v>2025</x:v>
      </x:c>
      <x:c r="G31" s="39"/>
      <x:c r="H31" s="39"/>
    </x:row>
    <x:row r="32">
      <x:c r="A32" s="43" t="str">
        <x:v>IS_TAXES_SURCHARGES</x:v>
      </x:c>
      <x:c r="B32" s="43" t="str">
        <x:v>H1_CERTIFIED</x:v>
      </x:c>
      <x:c r="C32" s="43" t="str">
        <x:v>BASE</x:v>
      </x:c>
      <x:c r="D32" s="43" t="str">
        <x:v>RMB_MILLION</x:v>
      </x:c>
      <x:c r="E32" s="43" t="n">
        <x:v>-2217.289</x:v>
      </x:c>
      <x:c r="F32" s="43" t="n">
        <x:v>2025</x:v>
      </x:c>
      <x:c r="G32" s="39"/>
      <x:c r="H32" s="39"/>
    </x:row>
    <x:row r="33">
      <x:c r="A33" s="43" t="str">
        <x:v>IS_TOTAL_REVENUE</x:v>
      </x:c>
      <x:c r="B33" s="43" t="str">
        <x:v>H1_CERTIFIED</x:v>
      </x:c>
      <x:c r="C33" s="43" t="str">
        <x:v>BASE</x:v>
      </x:c>
      <x:c r="D33" s="43" t="str">
        <x:v>RMB_MILLION</x:v>
      </x:c>
      <x:c r="E33" s="43" t="n">
        <x:v>458502.407</x:v>
      </x:c>
      <x:c r="F33" s="43" t="n">
        <x:v>2025</x:v>
      </x:c>
      <x:c r="G33" s="39"/>
      <x:c r="H33" s="39"/>
    </x:row>
    <x:row r="34">
      <x:c r="A34" s="43" t="str">
        <x:v>IS_ADJUSTED_ATTRIBUTABLE_NI</x:v>
      </x:c>
      <x:c r="B34" s="43" t="str">
        <x:v>H3B_ATTEMPT005</x:v>
      </x:c>
      <x:c r="C34" s="43" t="str">
        <x:v>BASE</x:v>
      </x:c>
      <x:c r="D34" s="43" t="str">
        <x:v>RMB_MILLION</x:v>
      </x:c>
      <x:c r="E34" s="43" t="n">
        <x:v>40563.13268346</x:v>
      </x:c>
      <x:c r="F34" s="43" t="n">
        <x:v>2026</x:v>
      </x:c>
      <x:c r="G34" s="39"/>
      <x:c r="H34" s="39"/>
    </x:row>
    <x:row r="35">
      <x:c r="A35" s="43" t="str">
        <x:v>IS_ADMIN_EXPENSE</x:v>
      </x:c>
      <x:c r="B35" s="43" t="str">
        <x:v>H3B_ATTEMPT005</x:v>
      </x:c>
      <x:c r="C35" s="43" t="str">
        <x:v>BASE</x:v>
      </x:c>
      <x:c r="D35" s="43" t="str">
        <x:v>RMB_MILLION</x:v>
      </x:c>
      <x:c r="E35" s="43" t="n">
        <x:v>-15198.12770352</x:v>
      </x:c>
      <x:c r="F35" s="43" t="n">
        <x:v>2026</x:v>
      </x:c>
      <x:c r="G35" s="39"/>
      <x:c r="H35" s="39"/>
    </x:row>
    <x:row r="36">
      <x:c r="A36" s="43" t="str">
        <x:v>IS_ASSET_DISPOSAL</x:v>
      </x:c>
      <x:c r="B36" s="43" t="str">
        <x:v>H3B_ATTEMPT005</x:v>
      </x:c>
      <x:c r="C36" s="43" t="str">
        <x:v>BASE</x:v>
      </x:c>
      <x:c r="D36" s="43" t="str">
        <x:v>RMB_MILLION</x:v>
      </x:c>
      <x:c r="E36" s="43" t="n">
        <x:v>-80.94289644</x:v>
      </x:c>
      <x:c r="F36" s="43" t="n">
        <x:v>2026</x:v>
      </x:c>
      <x:c r="G36" s="39"/>
      <x:c r="H36" s="39"/>
    </x:row>
    <x:row r="37">
      <x:c r="A37" s="43" t="str">
        <x:v>IS_ASSET_IMPAIRMENT</x:v>
      </x:c>
      <x:c r="B37" s="43" t="str">
        <x:v>H3B_ATTEMPT005</x:v>
      </x:c>
      <x:c r="C37" s="43" t="str">
        <x:v>BASE</x:v>
      </x:c>
      <x:c r="D37" s="43" t="str">
        <x:v>RMB_MILLION</x:v>
      </x:c>
      <x:c r="E37" s="43" t="n">
        <x:v>-1231.29472933</x:v>
      </x:c>
      <x:c r="F37" s="43" t="n">
        <x:v>2026</x:v>
      </x:c>
      <x:c r="G37" s="39"/>
      <x:c r="H37" s="39"/>
    </x:row>
    <x:row r="38">
      <x:c r="A38" s="43" t="str">
        <x:v>IS_ATTRIBUTABLE_NI</x:v>
      </x:c>
      <x:c r="B38" s="43" t="str">
        <x:v>H3B_ATTEMPT005</x:v>
      </x:c>
      <x:c r="C38" s="43" t="str">
        <x:v>BASE</x:v>
      </x:c>
      <x:c r="D38" s="43" t="str">
        <x:v>RMB_MILLION</x:v>
      </x:c>
      <x:c r="E38" s="43" t="n">
        <x:v>43195.61568916</x:v>
      </x:c>
      <x:c r="F38" s="43" t="n">
        <x:v>2026</x:v>
      </x:c>
      <x:c r="G38" s="39"/>
      <x:c r="H38" s="39"/>
    </x:row>
    <x:row r="39">
      <x:c r="A39" s="43" t="str">
        <x:v>IS_BASIC_EPS</x:v>
      </x:c>
      <x:c r="B39" s="43" t="str">
        <x:v>H3B_ATTEMPT005</x:v>
      </x:c>
      <x:c r="C39" s="43" t="str">
        <x:v>BASE</x:v>
      </x:c>
      <x:c r="D39" s="43" t="str">
        <x:v>RMB_PER_SHARE</x:v>
      </x:c>
      <x:c r="E39" s="43" t="n">
        <x:v>5.83526322</x:v>
      </x:c>
      <x:c r="F39" s="43" t="n">
        <x:v>2026</x:v>
      </x:c>
      <x:c r="G39" s="39"/>
      <x:c r="H39" s="39"/>
    </x:row>
    <x:row r="40">
      <x:c r="A40" s="43" t="str">
        <x:v>IS_CREDIT_IMPAIRMENT</x:v>
      </x:c>
      <x:c r="B40" s="43" t="str">
        <x:v>H3B_ATTEMPT005</x:v>
      </x:c>
      <x:c r="C40" s="43" t="str">
        <x:v>BASE</x:v>
      </x:c>
      <x:c r="D40" s="43" t="str">
        <x:v>RMB_MILLION</x:v>
      </x:c>
      <x:c r="E40" s="43" t="n">
        <x:v>-378.88481436</x:v>
      </x:c>
      <x:c r="F40" s="43" t="n">
        <x:v>2026</x:v>
      </x:c>
      <x:c r="G40" s="39"/>
      <x:c r="H40" s="39"/>
    </x:row>
    <x:row r="41">
      <x:c r="A41" s="43" t="str">
        <x:v>IS_DILUTED_EPS</x:v>
      </x:c>
      <x:c r="B41" s="43" t="str">
        <x:v>H3B_ATTEMPT005</x:v>
      </x:c>
      <x:c r="C41" s="43" t="str">
        <x:v>BASE</x:v>
      </x:c>
      <x:c r="D41" s="43" t="str">
        <x:v>RMB_PER_SHARE</x:v>
      </x:c>
      <x:c r="E41" s="43" t="n">
        <x:v>5.83526322</x:v>
      </x:c>
      <x:c r="F41" s="43" t="n">
        <x:v>2026</x:v>
      </x:c>
      <x:c r="G41" s="39"/>
      <x:c r="H41" s="39"/>
    </x:row>
    <x:row r="42">
      <x:c r="A42" s="43" t="str">
        <x:v>IS_FAIR_VALUE_CHANGE</x:v>
      </x:c>
      <x:c r="B42" s="43" t="str">
        <x:v>H3B_ATTEMPT005</x:v>
      </x:c>
      <x:c r="C42" s="43" t="str">
        <x:v>BASE</x:v>
      </x:c>
      <x:c r="D42" s="43" t="str">
        <x:v>RMB_MILLION</x:v>
      </x:c>
      <x:c r="E42" s="43" t="n">
        <x:v>832.97804078</x:v>
      </x:c>
      <x:c r="F42" s="43" t="n">
        <x:v>2026</x:v>
      </x:c>
      <x:c r="G42" s="39"/>
      <x:c r="H42" s="39"/>
    </x:row>
    <x:row r="43">
      <x:c r="A43" s="43" t="str">
        <x:v>IS_FEE_COMMISSION_EXPENSE</x:v>
      </x:c>
      <x:c r="B43" s="43" t="str">
        <x:v>H3B_ATTEMPT005</x:v>
      </x:c>
      <x:c r="C43" s="43" t="str">
        <x:v>BASE</x:v>
      </x:c>
      <x:c r="D43" s="43" t="str">
        <x:v>RMB_MILLION</x:v>
      </x:c>
      <x:c r="E43" s="43" t="n">
        <x:v>-1.7482405</x:v>
      </x:c>
      <x:c r="F43" s="43" t="n">
        <x:v>2026</x:v>
      </x:c>
      <x:c r="G43" s="39"/>
      <x:c r="H43" s="39"/>
    </x:row>
    <x:row r="44">
      <x:c r="A44" s="43" t="str">
        <x:v>IS_FEE_COMMISSION_INCOME</x:v>
      </x:c>
      <x:c r="B44" s="43" t="str">
        <x:v>H3B_ATTEMPT005</x:v>
      </x:c>
      <x:c r="C44" s="43" t="str">
        <x:v>BASE</x:v>
      </x:c>
      <x:c r="D44" s="43" t="str">
        <x:v>RMB_MILLION</x:v>
      </x:c>
      <x:c r="E44" s="43" t="n">
        <x:v>0.54086856</x:v>
      </x:c>
      <x:c r="F44" s="43" t="n">
        <x:v>2026</x:v>
      </x:c>
      <x:c r="G44" s="39"/>
      <x:c r="H44" s="39"/>
    </x:row>
    <x:row r="45">
      <x:c r="A45" s="43" t="str">
        <x:v>IS_FINANCE_INTEREST_INCOME</x:v>
      </x:c>
      <x:c r="B45" s="43" t="str">
        <x:v>H3B_ATTEMPT005</x:v>
      </x:c>
      <x:c r="C45" s="43" t="str">
        <x:v>BASE</x:v>
      </x:c>
      <x:c r="D45" s="43" t="str">
        <x:v>RMB_MILLION</x:v>
      </x:c>
      <x:c r="E45" s="43" t="n">
        <x:v>2491.57146669</x:v>
      </x:c>
      <x:c r="F45" s="43" t="n">
        <x:v>2026</x:v>
      </x:c>
      <x:c r="G45" s="39"/>
      <x:c r="H45" s="39"/>
    </x:row>
    <x:row r="46">
      <x:c r="A46" s="43" t="str">
        <x:v>IS_FINANCE_RESULT</x:v>
      </x:c>
      <x:c r="B46" s="43" t="str">
        <x:v>H3B_ATTEMPT005</x:v>
      </x:c>
      <x:c r="C46" s="43" t="str">
        <x:v>BASE</x:v>
      </x:c>
      <x:c r="D46" s="43" t="str">
        <x:v>RMB_MILLION</x:v>
      </x:c>
      <x:c r="E46" s="43" t="n">
        <x:v>-561.34831436</x:v>
      </x:c>
      <x:c r="F46" s="43" t="n">
        <x:v>2026</x:v>
      </x:c>
      <x:c r="G46" s="39"/>
      <x:c r="H46" s="39"/>
    </x:row>
    <x:row r="47">
      <x:c r="A47" s="43" t="str">
        <x:v>IS_FINANCIAL_BUSINESS_INTEREST_COST</x:v>
      </x:c>
      <x:c r="B47" s="43" t="str">
        <x:v>H3B_ATTEMPT005</x:v>
      </x:c>
      <x:c r="C47" s="43" t="str">
        <x:v>BASE</x:v>
      </x:c>
      <x:c r="D47" s="43" t="str">
        <x:v>RMB_MILLION</x:v>
      </x:c>
      <x:c r="E47" s="43" t="n">
        <x:v>-0.29279302</x:v>
      </x:c>
      <x:c r="F47" s="43" t="n">
        <x:v>2026</x:v>
      </x:c>
      <x:c r="G47" s="39"/>
      <x:c r="H47" s="39"/>
    </x:row>
    <x:row r="48">
      <x:c r="A48" s="43" t="str">
        <x:v>IS_FINANCIAL_BUSINESS_INTEREST_INCOME</x:v>
      </x:c>
      <x:c r="B48" s="43" t="str">
        <x:v>H3B_ATTEMPT005</x:v>
      </x:c>
      <x:c r="C48" s="43" t="str">
        <x:v>BASE</x:v>
      </x:c>
      <x:c r="D48" s="43" t="str">
        <x:v>RMB_MILLION</x:v>
      </x:c>
      <x:c r="E48" s="43" t="n">
        <x:v>2182.81774318</x:v>
      </x:c>
      <x:c r="F48" s="43" t="n">
        <x:v>2026</x:v>
      </x:c>
      <x:c r="G48" s="39"/>
      <x:c r="H48" s="39"/>
    </x:row>
    <x:row r="49">
      <x:c r="A49" s="43" t="str">
        <x:v>IS_FINANCING_INTEREST_EXPENSE</x:v>
      </x:c>
      <x:c r="B49" s="43" t="str">
        <x:v>H3B_ATTEMPT005</x:v>
      </x:c>
      <x:c r="C49" s="43" t="str">
        <x:v>BASE</x:v>
      </x:c>
      <x:c r="D49" s="43" t="str">
        <x:v>RMB_MILLION</x:v>
      </x:c>
      <x:c r="E49" s="43" t="n">
        <x:v>-3052.62698803</x:v>
      </x:c>
      <x:c r="F49" s="43" t="n">
        <x:v>2026</x:v>
      </x:c>
      <x:c r="G49" s="39"/>
      <x:c r="H49" s="39"/>
    </x:row>
    <x:row r="50">
      <x:c r="A50" s="43" t="str">
        <x:v>IS_INCOME_TAX</x:v>
      </x:c>
      <x:c r="B50" s="43" t="str">
        <x:v>H3B_ATTEMPT005</x:v>
      </x:c>
      <x:c r="C50" s="43" t="str">
        <x:v>BASE</x:v>
      </x:c>
      <x:c r="D50" s="43" t="str">
        <x:v>RMB_MILLION</x:v>
      </x:c>
      <x:c r="E50" s="43" t="n">
        <x:v>-7878.31807664</x:v>
      </x:c>
      <x:c r="F50" s="43" t="n">
        <x:v>2026</x:v>
      </x:c>
      <x:c r="G50" s="39"/>
      <x:c r="H50" s="39"/>
    </x:row>
    <x:row r="51">
      <x:c r="A51" s="43" t="str">
        <x:v>IS_INVESTMENT_INCOME</x:v>
      </x:c>
      <x:c r="B51" s="43" t="str">
        <x:v>H3B_ATTEMPT005</x:v>
      </x:c>
      <x:c r="C51" s="43" t="str">
        <x:v>BASE</x:v>
      </x:c>
      <x:c r="D51" s="43" t="str">
        <x:v>RMB_MILLION</x:v>
      </x:c>
      <x:c r="E51" s="43" t="n">
        <x:v>1804.30876859</x:v>
      </x:c>
      <x:c r="F51" s="43" t="n">
        <x:v>2026</x:v>
      </x:c>
      <x:c r="G51" s="39"/>
      <x:c r="H51" s="39"/>
    </x:row>
    <x:row r="52">
      <x:c r="A52" s="43" t="str">
        <x:v>IS_NCI_PROFIT</x:v>
      </x:c>
      <x:c r="B52" s="43" t="str">
        <x:v>H3B_ATTEMPT005</x:v>
      </x:c>
      <x:c r="C52" s="43" t="str">
        <x:v>BASE</x:v>
      </x:c>
      <x:c r="D52" s="43" t="str">
        <x:v>RMB_MILLION</x:v>
      </x:c>
      <x:c r="E52" s="43" t="n">
        <x:v>564.97803522</x:v>
      </x:c>
      <x:c r="F52" s="43" t="n">
        <x:v>2026</x:v>
      </x:c>
      <x:c r="G52" s="39"/>
      <x:c r="H52" s="39"/>
    </x:row>
    <x:row r="53">
      <x:c r="A53" s="43" t="str">
        <x:v>IS_NET_PROFIT</x:v>
      </x:c>
      <x:c r="B53" s="43" t="str">
        <x:v>H3B_ATTEMPT005</x:v>
      </x:c>
      <x:c r="C53" s="43" t="str">
        <x:v>BASE</x:v>
      </x:c>
      <x:c r="D53" s="43" t="str">
        <x:v>RMB_MILLION</x:v>
      </x:c>
      <x:c r="E53" s="43" t="n">
        <x:v>43760.59372438</x:v>
      </x:c>
      <x:c r="F53" s="43" t="n">
        <x:v>2026</x:v>
      </x:c>
      <x:c r="G53" s="39"/>
      <x:c r="H53" s="39"/>
    </x:row>
    <x:row r="54">
      <x:c r="A54" s="43" t="str">
        <x:v>IS_OPERATING_COST</x:v>
      </x:c>
      <x:c r="B54" s="43" t="str">
        <x:v>H3B_ATTEMPT005</x:v>
      </x:c>
      <x:c r="C54" s="43" t="str">
        <x:v>BASE</x:v>
      </x:c>
      <x:c r="D54" s="43" t="str">
        <x:v>RMB_MILLION</x:v>
      </x:c>
      <x:c r="E54" s="43" t="n">
        <x:v>-361271.43507992</x:v>
      </x:c>
      <x:c r="F54" s="43" t="n">
        <x:v>2026</x:v>
      </x:c>
      <x:c r="G54" s="39"/>
      <x:c r="H54" s="39"/>
    </x:row>
    <x:row r="55">
      <x:c r="A55" s="43" t="str">
        <x:v>IS_OPERATING_PROFIT</x:v>
      </x:c>
      <x:c r="B55" s="43" t="str">
        <x:v>H3B_ATTEMPT005</x:v>
      </x:c>
      <x:c r="C55" s="43" t="str">
        <x:v>BASE</x:v>
      </x:c>
      <x:c r="D55" s="43" t="str">
        <x:v>RMB_MILLION</x:v>
      </x:c>
      <x:c r="E55" s="43" t="n">
        <x:v>51638.91180102</x:v>
      </x:c>
      <x:c r="F55" s="43" t="n">
        <x:v>2026</x:v>
      </x:c>
      <x:c r="G55" s="39"/>
      <x:c r="H55" s="39"/>
    </x:row>
    <x:row r="56">
      <x:c r="A56" s="43" t="str">
        <x:v>IS_OPERATING_REVENUE</x:v>
      </x:c>
      <x:c r="B56" s="43" t="str">
        <x:v>H3B_ATTEMPT005</x:v>
      </x:c>
      <x:c r="C56" s="43" t="str">
        <x:v>BASE</x:v>
      </x:c>
      <x:c r="D56" s="43" t="str">
        <x:v>RMB_MILLION</x:v>
      </x:c>
      <x:c r="E56" s="43" t="n">
        <x:v>485985.02041372</x:v>
      </x:c>
      <x:c r="F56" s="43" t="n">
        <x:v>2026</x:v>
      </x:c>
      <x:c r="G56" s="39"/>
      <x:c r="H56" s="39"/>
    </x:row>
    <x:row r="57">
      <x:c r="A57" s="43" t="str">
        <x:v>IS_OTHER_INCOME</x:v>
      </x:c>
      <x:c r="B57" s="43" t="str">
        <x:v>H3B_ATTEMPT005</x:v>
      </x:c>
      <x:c r="C57" s="43" t="str">
        <x:v>BASE</x:v>
      </x:c>
      <x:c r="D57" s="43" t="str">
        <x:v>RMB_MILLION</x:v>
      </x:c>
      <x:c r="E57" s="43" t="n">
        <x:v>2686.74388611</x:v>
      </x:c>
      <x:c r="F57" s="43" t="n">
        <x:v>2026</x:v>
      </x:c>
      <x:c r="G57" s="39"/>
      <x:c r="H57" s="39"/>
    </x:row>
    <x:row r="58">
      <x:c r="A58" s="43" t="str">
        <x:v>IS_PBT</x:v>
      </x:c>
      <x:c r="B58" s="43" t="str">
        <x:v>H3B_ATTEMPT005</x:v>
      </x:c>
      <x:c r="C58" s="43" t="str">
        <x:v>BASE</x:v>
      </x:c>
      <x:c r="D58" s="43" t="str">
        <x:v>RMB_MILLION</x:v>
      </x:c>
      <x:c r="E58" s="43" t="n">
        <x:v>51638.91180102</x:v>
      </x:c>
      <x:c r="F58" s="43" t="n">
        <x:v>2026</x:v>
      </x:c>
      <x:c r="G58" s="39"/>
      <x:c r="H58" s="39"/>
    </x:row>
    <x:row r="59">
      <x:c r="A59" s="43" t="str">
        <x:v>IS_RD_EXPENSE</x:v>
      </x:c>
      <x:c r="B59" s="43" t="str">
        <x:v>H3B_ATTEMPT005</x:v>
      </x:c>
      <x:c r="C59" s="43" t="str">
        <x:v>BASE</x:v>
      </x:c>
      <x:c r="D59" s="43" t="str">
        <x:v>RMB_MILLION</x:v>
      </x:c>
      <x:c r="E59" s="43" t="n">
        <x:v>-16913.59859711</x:v>
      </x:c>
      <x:c r="F59" s="43" t="n">
        <x:v>2026</x:v>
      </x:c>
      <x:c r="G59" s="39"/>
      <x:c r="H59" s="39"/>
    </x:row>
    <x:row r="60">
      <x:c r="A60" s="43" t="str">
        <x:v>IS_SELLING_EXPENSE</x:v>
      </x:c>
      <x:c r="B60" s="43" t="str">
        <x:v>H3B_ATTEMPT005</x:v>
      </x:c>
      <x:c r="C60" s="43" t="str">
        <x:v>BASE</x:v>
      </x:c>
      <x:c r="D60" s="43" t="str">
        <x:v>RMB_MILLION</x:v>
      </x:c>
      <x:c r="E60" s="43" t="n">
        <x:v>-43855.36575674</x:v>
      </x:c>
      <x:c r="F60" s="43" t="n">
        <x:v>2026</x:v>
      </x:c>
      <x:c r="G60" s="39"/>
      <x:c r="H60" s="39"/>
    </x:row>
    <x:row r="61">
      <x:c r="A61" s="43" t="str">
        <x:v>IS_TAXES_SURCHARGES</x:v>
      </x:c>
      <x:c r="B61" s="43" t="str">
        <x:v>H3B_ATTEMPT005</x:v>
      </x:c>
      <x:c r="C61" s="43" t="str">
        <x:v>BASE</x:v>
      </x:c>
      <x:c r="D61" s="43" t="str">
        <x:v>RMB_MILLION</x:v>
      </x:c>
      <x:c r="E61" s="43" t="n">
        <x:v>-2360.75178764</x:v>
      </x:c>
      <x:c r="F61" s="43" t="n">
        <x:v>2026</x:v>
      </x:c>
      <x:c r="G61" s="39"/>
      <x:c r="H61" s="39"/>
    </x:row>
    <x:row r="62">
      <x:c r="A62" s="43" t="str">
        <x:v>IS_TOTAL_REVENUE</x:v>
      </x:c>
      <x:c r="B62" s="43" t="str">
        <x:v>H3B_ATTEMPT005</x:v>
      </x:c>
      <x:c r="C62" s="43" t="str">
        <x:v>BASE</x:v>
      </x:c>
      <x:c r="D62" s="43" t="str">
        <x:v>RMB_MILLION</x:v>
      </x:c>
      <x:c r="E62" s="43" t="n">
        <x:v>488168.37902546</x:v>
      </x:c>
      <x:c r="F62" s="43" t="n">
        <x:v>2026</x:v>
      </x:c>
      <x:c r="G62" s="39"/>
      <x:c r="H62" s="39"/>
    </x:row>
    <x:row r="63">
      <x:c r="A63" s="43" t="str">
        <x:v>IS_ADJUSTED_ATTRIBUTABLE_NI</x:v>
      </x:c>
      <x:c r="B63" s="43" t="str">
        <x:v>H3B_ATTEMPT005</x:v>
      </x:c>
      <x:c r="C63" s="43" t="str">
        <x:v>BASE</x:v>
      </x:c>
      <x:c r="D63" s="43" t="str">
        <x:v>RMB_MILLION</x:v>
      </x:c>
      <x:c r="E63" s="43" t="n">
        <x:v>42472.5095708</x:v>
      </x:c>
      <x:c r="F63" s="43" t="n">
        <x:v>2027</x:v>
      </x:c>
      <x:c r="G63" s="39"/>
      <x:c r="H63" s="39"/>
    </x:row>
    <x:row r="64">
      <x:c r="A64" s="43" t="str">
        <x:v>IS_ADMIN_EXPENSE</x:v>
      </x:c>
      <x:c r="B64" s="43" t="str">
        <x:v>H3B_ATTEMPT005</x:v>
      </x:c>
      <x:c r="C64" s="43" t="str">
        <x:v>BASE</x:v>
      </x:c>
      <x:c r="D64" s="43" t="str">
        <x:v>RMB_MILLION</x:v>
      </x:c>
      <x:c r="E64" s="43" t="n">
        <x:v>-16874.70476462</x:v>
      </x:c>
      <x:c r="F64" s="43" t="n">
        <x:v>2027</x:v>
      </x:c>
      <x:c r="G64" s="39"/>
      <x:c r="H64" s="39"/>
    </x:row>
    <x:row r="65">
      <x:c r="A65" s="43" t="str">
        <x:v>IS_ASSET_DISPOSAL</x:v>
      </x:c>
      <x:c r="B65" s="43" t="str">
        <x:v>H3B_ATTEMPT005</x:v>
      </x:c>
      <x:c r="C65" s="43" t="str">
        <x:v>BASE</x:v>
      </x:c>
      <x:c r="D65" s="43" t="str">
        <x:v>RMB_MILLION</x:v>
      </x:c>
      <x:c r="E65" s="43" t="n">
        <x:v>-86.7702544</x:v>
      </x:c>
      <x:c r="F65" s="43" t="n">
        <x:v>2027</x:v>
      </x:c>
      <x:c r="G65" s="39"/>
      <x:c r="H65" s="39"/>
    </x:row>
    <x:row r="66">
      <x:c r="A66" s="43" t="str">
        <x:v>IS_ASSET_IMPAIRMENT</x:v>
      </x:c>
      <x:c r="B66" s="43" t="str">
        <x:v>H3B_ATTEMPT005</x:v>
      </x:c>
      <x:c r="C66" s="43" t="str">
        <x:v>BASE</x:v>
      </x:c>
      <x:c r="D66" s="43" t="str">
        <x:v>RMB_MILLION</x:v>
      </x:c>
      <x:c r="E66" s="43" t="n">
        <x:v>-1319.9398787</x:v>
      </x:c>
      <x:c r="F66" s="43" t="n">
        <x:v>2027</x:v>
      </x:c>
      <x:c r="G66" s="39"/>
      <x:c r="H66" s="39"/>
    </x:row>
    <x:row r="67">
      <x:c r="A67" s="43" t="str">
        <x:v>IS_ATTRIBUTABLE_NI</x:v>
      </x:c>
      <x:c r="B67" s="43" t="str">
        <x:v>H3B_ATTEMPT005</x:v>
      </x:c>
      <x:c r="C67" s="43" t="str">
        <x:v>BASE</x:v>
      </x:c>
      <x:c r="D67" s="43" t="str">
        <x:v>RMB_MILLION</x:v>
      </x:c>
      <x:c r="E67" s="43" t="n">
        <x:v>45228.90810951</x:v>
      </x:c>
      <x:c r="F67" s="43" t="n">
        <x:v>2027</x:v>
      </x:c>
      <x:c r="G67" s="39"/>
      <x:c r="H67" s="39"/>
    </x:row>
    <x:row r="68">
      <x:c r="A68" s="43" t="str">
        <x:v>IS_BASIC_EPS</x:v>
      </x:c>
      <x:c r="B68" s="43" t="str">
        <x:v>H3B_ATTEMPT005</x:v>
      </x:c>
      <x:c r="C68" s="43" t="str">
        <x:v>BASE</x:v>
      </x:c>
      <x:c r="D68" s="43" t="str">
        <x:v>RMB_PER_SHARE</x:v>
      </x:c>
      <x:c r="E68" s="43" t="n">
        <x:v>6.10993916</x:v>
      </x:c>
      <x:c r="F68" s="43" t="n">
        <x:v>2027</x:v>
      </x:c>
      <x:c r="G68" s="39"/>
      <x:c r="H68" s="39"/>
    </x:row>
    <x:row r="69">
      <x:c r="A69" s="43" t="str">
        <x:v>IS_CREDIT_IMPAIRMENT</x:v>
      </x:c>
      <x:c r="B69" s="43" t="str">
        <x:v>H3B_ATTEMPT005</x:v>
      </x:c>
      <x:c r="C69" s="43" t="str">
        <x:v>BASE</x:v>
      </x:c>
      <x:c r="D69" s="43" t="str">
        <x:v>RMB_MILLION</x:v>
      </x:c>
      <x:c r="E69" s="43" t="n">
        <x:v>-406.1620374</x:v>
      </x:c>
      <x:c r="F69" s="43" t="n">
        <x:v>2027</x:v>
      </x:c>
      <x:c r="G69" s="39"/>
      <x:c r="H69" s="39"/>
    </x:row>
    <x:row r="70">
      <x:c r="A70" s="43" t="str">
        <x:v>IS_DILUTED_EPS</x:v>
      </x:c>
      <x:c r="B70" s="43" t="str">
        <x:v>H3B_ATTEMPT005</x:v>
      </x:c>
      <x:c r="C70" s="43" t="str">
        <x:v>BASE</x:v>
      </x:c>
      <x:c r="D70" s="43" t="str">
        <x:v>RMB_PER_SHARE</x:v>
      </x:c>
      <x:c r="E70" s="43" t="n">
        <x:v>6.10993916</x:v>
      </x:c>
      <x:c r="F70" s="43" t="n">
        <x:v>2027</x:v>
      </x:c>
      <x:c r="G70" s="39"/>
      <x:c r="H70" s="39"/>
    </x:row>
    <x:row r="71">
      <x:c r="A71" s="43" t="str">
        <x:v>IS_FAIR_VALUE_CHANGE</x:v>
      </x:c>
      <x:c r="B71" s="43" t="str">
        <x:v>H3B_ATTEMPT005</x:v>
      </x:c>
      <x:c r="C71" s="43" t="str">
        <x:v>BASE</x:v>
      </x:c>
      <x:c r="D71" s="43" t="str">
        <x:v>RMB_MILLION</x:v>
      </x:c>
      <x:c r="E71" s="43" t="n">
        <x:v>892.94699955</x:v>
      </x:c>
      <x:c r="F71" s="43" t="n">
        <x:v>2027</x:v>
      </x:c>
      <x:c r="G71" s="39"/>
      <x:c r="H71" s="39"/>
    </x:row>
    <x:row r="72">
      <x:c r="A72" s="43" t="str">
        <x:v>IS_FEE_COMMISSION_EXPENSE</x:v>
      </x:c>
      <x:c r="B72" s="43" t="str">
        <x:v>H3B_ATTEMPT005</x:v>
      </x:c>
      <x:c r="C72" s="43" t="str">
        <x:v>BASE</x:v>
      </x:c>
      <x:c r="D72" s="43" t="str">
        <x:v>RMB_MILLION</x:v>
      </x:c>
      <x:c r="E72" s="43" t="n">
        <x:v>-1.87410236</x:v>
      </x:c>
      <x:c r="F72" s="43" t="n">
        <x:v>2027</x:v>
      </x:c>
      <x:c r="G72" s="39"/>
      <x:c r="H72" s="39"/>
    </x:row>
    <x:row r="73">
      <x:c r="A73" s="43" t="str">
        <x:v>IS_FEE_COMMISSION_INCOME</x:v>
      </x:c>
      <x:c r="B73" s="43" t="str">
        <x:v>H3B_ATTEMPT005</x:v>
      </x:c>
      <x:c r="C73" s="43" t="str">
        <x:v>BASE</x:v>
      </x:c>
      <x:c r="D73" s="43" t="str">
        <x:v>RMB_MILLION</x:v>
      </x:c>
      <x:c r="E73" s="43" t="n">
        <x:v>0.57980755</x:v>
      </x:c>
      <x:c r="F73" s="43" t="n">
        <x:v>2027</x:v>
      </x:c>
      <x:c r="G73" s="39"/>
      <x:c r="H73" s="39"/>
    </x:row>
    <x:row r="74">
      <x:c r="A74" s="43" t="str">
        <x:v>IS_FINANCE_INTEREST_INCOME</x:v>
      </x:c>
      <x:c r="B74" s="43" t="str">
        <x:v>H3B_ATTEMPT005</x:v>
      </x:c>
      <x:c r="C74" s="43" t="str">
        <x:v>BASE</x:v>
      </x:c>
      <x:c r="D74" s="43" t="str">
        <x:v>RMB_MILLION</x:v>
      </x:c>
      <x:c r="E74" s="43" t="n">
        <x:v>3012.02314044</x:v>
      </x:c>
      <x:c r="F74" s="43" t="n">
        <x:v>2027</x:v>
      </x:c>
      <x:c r="G74" s="39"/>
      <x:c r="H74" s="39"/>
    </x:row>
    <x:row r="75">
      <x:c r="A75" s="43" t="str">
        <x:v>IS_FINANCE_RESULT</x:v>
      </x:c>
      <x:c r="B75" s="43" t="str">
        <x:v>H3B_ATTEMPT005</x:v>
      </x:c>
      <x:c r="C75" s="43" t="str">
        <x:v>BASE</x:v>
      </x:c>
      <x:c r="D75" s="43" t="str">
        <x:v>RMB_MILLION</x:v>
      </x:c>
      <x:c r="E75" s="43" t="n">
        <x:v>-221.43277288</x:v>
      </x:c>
      <x:c r="F75" s="43" t="n">
        <x:v>2027</x:v>
      </x:c>
      <x:c r="G75" s="39"/>
      <x:c r="H75" s="39"/>
    </x:row>
    <x:row r="76">
      <x:c r="A76" s="43" t="str">
        <x:v>IS_FINANCIAL_BUSINESS_INTEREST_COST</x:v>
      </x:c>
      <x:c r="B76" s="43" t="str">
        <x:v>H3B_ATTEMPT005</x:v>
      </x:c>
      <x:c r="C76" s="43" t="str">
        <x:v>BASE</x:v>
      </x:c>
      <x:c r="D76" s="43" t="str">
        <x:v>RMB_MILLION</x:v>
      </x:c>
      <x:c r="E76" s="43" t="n">
        <x:v>-0.3138722</x:v>
      </x:c>
      <x:c r="F76" s="43" t="n">
        <x:v>2027</x:v>
      </x:c>
      <x:c r="G76" s="39"/>
      <x:c r="H76" s="39"/>
    </x:row>
    <x:row r="77">
      <x:c r="A77" s="43" t="str">
        <x:v>IS_FINANCIAL_BUSINESS_INTEREST_INCOME</x:v>
      </x:c>
      <x:c r="B77" s="43" t="str">
        <x:v>H3B_ATTEMPT005</x:v>
      </x:c>
      <x:c r="C77" s="43" t="str">
        <x:v>BASE</x:v>
      </x:c>
      <x:c r="D77" s="43" t="str">
        <x:v>RMB_MILLION</x:v>
      </x:c>
      <x:c r="E77" s="43" t="n">
        <x:v>2339.96631232</x:v>
      </x:c>
      <x:c r="F77" s="43" t="n">
        <x:v>2027</x:v>
      </x:c>
      <x:c r="G77" s="39"/>
      <x:c r="H77" s="39"/>
    </x:row>
    <x:row r="78">
      <x:c r="A78" s="43" t="str">
        <x:v>IS_FINANCING_INTEREST_EXPENSE</x:v>
      </x:c>
      <x:c r="B78" s="43" t="str">
        <x:v>H3B_ATTEMPT005</x:v>
      </x:c>
      <x:c r="C78" s="43" t="str">
        <x:v>BASE</x:v>
      </x:c>
      <x:c r="D78" s="43" t="str">
        <x:v>RMB_MILLION</x:v>
      </x:c>
      <x:c r="E78" s="43" t="n">
        <x:v>-3233.14204112</x:v>
      </x:c>
      <x:c r="F78" s="43" t="n">
        <x:v>2027</x:v>
      </x:c>
      <x:c r="G78" s="39"/>
      <x:c r="H78" s="39"/>
    </x:row>
    <x:row r="79">
      <x:c r="A79" s="43" t="str">
        <x:v>IS_INCOME_TAX</x:v>
      </x:c>
      <x:c r="B79" s="43" t="str">
        <x:v>H3B_ATTEMPT005</x:v>
      </x:c>
      <x:c r="C79" s="43" t="str">
        <x:v>BASE</x:v>
      </x:c>
      <x:c r="D79" s="43" t="str">
        <x:v>RMB_MILLION</x:v>
      </x:c>
      <x:c r="E79" s="43" t="n">
        <x:v>-8287.38922343</x:v>
      </x:c>
      <x:c r="F79" s="43" t="n">
        <x:v>2027</x:v>
      </x:c>
      <x:c r="G79" s="39"/>
      <x:c r="H79" s="39"/>
    </x:row>
    <x:row r="80">
      <x:c r="A80" s="43" t="str">
        <x:v>IS_INVESTMENT_INCOME</x:v>
      </x:c>
      <x:c r="B80" s="43" t="str">
        <x:v>H3B_ATTEMPT005</x:v>
      </x:c>
      <x:c r="C80" s="43" t="str">
        <x:v>BASE</x:v>
      </x:c>
      <x:c r="D80" s="43" t="str">
        <x:v>RMB_MILLION</x:v>
      </x:c>
      <x:c r="E80" s="43" t="n">
        <x:v>1934.20717268</x:v>
      </x:c>
      <x:c r="F80" s="43" t="n">
        <x:v>2027</x:v>
      </x:c>
      <x:c r="G80" s="39"/>
      <x:c r="H80" s="39"/>
    </x:row>
    <x:row r="81">
      <x:c r="A81" s="43" t="str">
        <x:v>IS_NCI_PROFIT</x:v>
      </x:c>
      <x:c r="B81" s="43" t="str">
        <x:v>H3B_ATTEMPT005</x:v>
      </x:c>
      <x:c r="C81" s="43" t="str">
        <x:v>BASE</x:v>
      </x:c>
      <x:c r="D81" s="43" t="str">
        <x:v>RMB_MILLION</x:v>
      </x:c>
      <x:c r="E81" s="43" t="n">
        <x:v>591.57252956</x:v>
      </x:c>
      <x:c r="F81" s="43" t="n">
        <x:v>2027</x:v>
      </x:c>
      <x:c r="G81" s="39"/>
      <x:c r="H81" s="39"/>
    </x:row>
    <x:row r="82">
      <x:c r="A82" s="43" t="str">
        <x:v>IS_NET_PROFIT</x:v>
      </x:c>
      <x:c r="B82" s="43" t="str">
        <x:v>H3B_ATTEMPT005</x:v>
      </x:c>
      <x:c r="C82" s="43" t="str">
        <x:v>BASE</x:v>
      </x:c>
      <x:c r="D82" s="43" t="str">
        <x:v>RMB_MILLION</x:v>
      </x:c>
      <x:c r="E82" s="43" t="n">
        <x:v>45820.48063907</x:v>
      </x:c>
      <x:c r="F82" s="43" t="n">
        <x:v>2027</x:v>
      </x:c>
      <x:c r="G82" s="39"/>
      <x:c r="H82" s="39"/>
    </x:row>
    <x:row r="83">
      <x:c r="A83" s="43" t="str">
        <x:v>IS_OPERATING_COST</x:v>
      </x:c>
      <x:c r="B83" s="43" t="str">
        <x:v>H3B_ATTEMPT005</x:v>
      </x:c>
      <x:c r="C83" s="43" t="str">
        <x:v>BASE</x:v>
      </x:c>
      <x:c r="D83" s="43" t="str">
        <x:v>RMB_MILLION</x:v>
      </x:c>
      <x:c r="E83" s="43" t="n">
        <x:v>-387114.87966854</x:v>
      </x:c>
      <x:c r="F83" s="43" t="n">
        <x:v>2027</x:v>
      </x:c>
      <x:c r="G83" s="39"/>
      <x:c r="H83" s="39"/>
    </x:row>
    <x:row r="84">
      <x:c r="A84" s="43" t="str">
        <x:v>IS_OPERATING_PROFIT</x:v>
      </x:c>
      <x:c r="B84" s="43" t="str">
        <x:v>H3B_ATTEMPT005</x:v>
      </x:c>
      <x:c r="C84" s="43" t="str">
        <x:v>BASE</x:v>
      </x:c>
      <x:c r="D84" s="43" t="str">
        <x:v>RMB_MILLION</x:v>
      </x:c>
      <x:c r="E84" s="43" t="n">
        <x:v>54107.8698625</x:v>
      </x:c>
      <x:c r="F84" s="43" t="n">
        <x:v>2027</x:v>
      </x:c>
      <x:c r="G84" s="39"/>
      <x:c r="H84" s="39"/>
    </x:row>
    <x:row r="85">
      <x:c r="A85" s="43" t="str">
        <x:v>IS_OPERATING_REVENUE</x:v>
      </x:c>
      <x:c r="B85" s="43" t="str">
        <x:v>H3B_ATTEMPT005</x:v>
      </x:c>
      <x:c r="C85" s="43" t="str">
        <x:v>BASE</x:v>
      </x:c>
      <x:c r="D85" s="43" t="str">
        <x:v>RMB_MILLION</x:v>
      </x:c>
      <x:c r="E85" s="43" t="n">
        <x:v>520972.7562517</x:v>
      </x:c>
      <x:c r="F85" s="43" t="n">
        <x:v>2027</x:v>
      </x:c>
      <x:c r="G85" s="39"/>
      <x:c r="H85" s="39"/>
    </x:row>
    <x:row r="86">
      <x:c r="A86" s="43" t="str">
        <x:v>IS_OTHER_INCOME</x:v>
      </x:c>
      <x:c r="B86" s="43" t="str">
        <x:v>H3B_ATTEMPT005</x:v>
      </x:c>
      <x:c r="C86" s="43" t="str">
        <x:v>BASE</x:v>
      </x:c>
      <x:c r="D86" s="43" t="str">
        <x:v>RMB_MILLION</x:v>
      </x:c>
      <x:c r="E86" s="43" t="n">
        <x:v>2880.1718343</x:v>
      </x:c>
      <x:c r="F86" s="43" t="n">
        <x:v>2027</x:v>
      </x:c>
      <x:c r="G86" s="39"/>
      <x:c r="H86" s="39"/>
    </x:row>
    <x:row r="87">
      <x:c r="A87" s="43" t="str">
        <x:v>IS_PBT</x:v>
      </x:c>
      <x:c r="B87" s="43" t="str">
        <x:v>H3B_ATTEMPT005</x:v>
      </x:c>
      <x:c r="C87" s="43" t="str">
        <x:v>BASE</x:v>
      </x:c>
      <x:c r="D87" s="43" t="str">
        <x:v>RMB_MILLION</x:v>
      </x:c>
      <x:c r="E87" s="43" t="n">
        <x:v>54107.8698625</x:v>
      </x:c>
      <x:c r="F87" s="43" t="n">
        <x:v>2027</x:v>
      </x:c>
      <x:c r="G87" s="39"/>
      <x:c r="H87" s="39"/>
    </x:row>
    <x:row r="88">
      <x:c r="A88" s="43" t="str">
        <x:v>IS_RD_EXPENSE</x:v>
      </x:c>
      <x:c r="B88" s="43" t="str">
        <x:v>H3B_ATTEMPT005</x:v>
      </x:c>
      <x:c r="C88" s="43" t="str">
        <x:v>BASE</x:v>
      </x:c>
      <x:c r="D88" s="43" t="str">
        <x:v>RMB_MILLION</x:v>
      </x:c>
      <x:c r="E88" s="43" t="n">
        <x:v>-18683.24881992</x:v>
      </x:c>
      <x:c r="F88" s="43" t="n">
        <x:v>2027</x:v>
      </x:c>
      <x:c r="G88" s="39"/>
      <x:c r="H88" s="39"/>
    </x:row>
    <x:row r="89">
      <x:c r="A89" s="43" t="str">
        <x:v>IS_SELLING_EXPENSE</x:v>
      </x:c>
      <x:c r="B89" s="43" t="str">
        <x:v>H3B_ATTEMPT005</x:v>
      </x:c>
      <x:c r="C89" s="43" t="str">
        <x:v>BASE</x:v>
      </x:c>
      <x:c r="D89" s="43" t="str">
        <x:v>RMB_MILLION</x:v>
      </x:c>
      <x:c r="E89" s="43" t="n">
        <x:v>-47673.03577516</x:v>
      </x:c>
      <x:c r="F89" s="43" t="n">
        <x:v>2027</x:v>
      </x:c>
      <x:c r="G89" s="39"/>
      <x:c r="H89" s="39"/>
    </x:row>
    <x:row r="90">
      <x:c r="A90" s="43" t="str">
        <x:v>IS_TAXES_SURCHARGES</x:v>
      </x:c>
      <x:c r="B90" s="43" t="str">
        <x:v>H3B_ATTEMPT005</x:v>
      </x:c>
      <x:c r="C90" s="43" t="str">
        <x:v>BASE</x:v>
      </x:c>
      <x:c r="D90" s="43" t="str">
        <x:v>RMB_MILLION</x:v>
      </x:c>
      <x:c r="E90" s="43" t="n">
        <x:v>-2530.71044162</x:v>
      </x:c>
      <x:c r="F90" s="43" t="n">
        <x:v>2027</x:v>
      </x:c>
      <x:c r="G90" s="39"/>
      <x:c r="H90" s="39"/>
    </x:row>
    <x:row r="91">
      <x:c r="A91" s="43" t="str">
        <x:v>IS_TOTAL_REVENUE</x:v>
      </x:c>
      <x:c r="B91" s="43" t="str">
        <x:v>H3B_ATTEMPT005</x:v>
      </x:c>
      <x:c r="C91" s="43" t="str">
        <x:v>BASE</x:v>
      </x:c>
      <x:c r="D91" s="43" t="str">
        <x:v>RMB_MILLION</x:v>
      </x:c>
      <x:c r="E91" s="43" t="n">
        <x:v>523313.30237157</x:v>
      </x:c>
      <x:c r="F91" s="43" t="n">
        <x:v>2027</x:v>
      </x:c>
      <x:c r="G91" s="39"/>
      <x:c r="H91" s="39"/>
    </x:row>
    <x:row r="92">
      <x:c r="A92" s="43" t="str">
        <x:v>IS_ADJUSTED_ATTRIBUTABLE_NI</x:v>
      </x:c>
      <x:c r="B92" s="43" t="str">
        <x:v>H3B_ATTEMPT005</x:v>
      </x:c>
      <x:c r="C92" s="43" t="str">
        <x:v>BASE</x:v>
      </x:c>
      <x:c r="D92" s="43" t="str">
        <x:v>RMB_MILLION</x:v>
      </x:c>
      <x:c r="E92" s="43" t="n">
        <x:v>45134.90257054</x:v>
      </x:c>
      <x:c r="F92" s="43" t="n">
        <x:v>2028</x:v>
      </x:c>
      <x:c r="G92" s="39"/>
      <x:c r="H92" s="39"/>
    </x:row>
    <x:row r="93">
      <x:c r="A93" s="43" t="str">
        <x:v>IS_ADMIN_EXPENSE</x:v>
      </x:c>
      <x:c r="B93" s="43" t="str">
        <x:v>H3B_ATTEMPT005</x:v>
      </x:c>
      <x:c r="C93" s="43" t="str">
        <x:v>BASE</x:v>
      </x:c>
      <x:c r="D93" s="43" t="str">
        <x:v>RMB_MILLION</x:v>
      </x:c>
      <x:c r="E93" s="43" t="n">
        <x:v>-18630.57012657</x:v>
      </x:c>
      <x:c r="F93" s="43" t="n">
        <x:v>2028</x:v>
      </x:c>
      <x:c r="G93" s="39"/>
      <x:c r="H93" s="39"/>
    </x:row>
    <x:row r="94">
      <x:c r="A94" s="43" t="str">
        <x:v>IS_ASSET_DISPOSAL</x:v>
      </x:c>
      <x:c r="B94" s="43" t="str">
        <x:v>H3B_ATTEMPT005</x:v>
      </x:c>
      <x:c r="C94" s="43" t="str">
        <x:v>BASE</x:v>
      </x:c>
      <x:c r="D94" s="43" t="str">
        <x:v>RMB_MILLION</x:v>
      </x:c>
      <x:c r="E94" s="43" t="n">
        <x:v>-93.69696882</x:v>
      </x:c>
      <x:c r="F94" s="43" t="n">
        <x:v>2028</x:v>
      </x:c>
      <x:c r="G94" s="39"/>
      <x:c r="H94" s="39"/>
    </x:row>
    <x:row r="95">
      <x:c r="A95" s="43" t="str">
        <x:v>IS_ASSET_IMPAIRMENT</x:v>
      </x:c>
      <x:c r="B95" s="43" t="str">
        <x:v>H3B_ATTEMPT005</x:v>
      </x:c>
      <x:c r="C95" s="43" t="str">
        <x:v>BASE</x:v>
      </x:c>
      <x:c r="D95" s="43" t="str">
        <x:v>RMB_MILLION</x:v>
      </x:c>
      <x:c r="E95" s="43" t="n">
        <x:v>-1425.30832154</x:v>
      </x:c>
      <x:c r="F95" s="43" t="n">
        <x:v>2028</x:v>
      </x:c>
      <x:c r="G95" s="39"/>
      <x:c r="H95" s="39"/>
    </x:row>
    <x:row r="96">
      <x:c r="A96" s="43" t="str">
        <x:v>IS_ATTRIBUTABLE_NI</x:v>
      </x:c>
      <x:c r="B96" s="43" t="str">
        <x:v>H3B_ATTEMPT005</x:v>
      </x:c>
      <x:c r="C96" s="43" t="str">
        <x:v>BASE</x:v>
      </x:c>
      <x:c r="D96" s="43" t="str">
        <x:v>RMB_MILLION</x:v>
      </x:c>
      <x:c r="E96" s="43" t="n">
        <x:v>48064.08619419</x:v>
      </x:c>
      <x:c r="F96" s="43" t="n">
        <x:v>2028</x:v>
      </x:c>
      <x:c r="G96" s="39"/>
      <x:c r="H96" s="39"/>
    </x:row>
    <x:row r="97">
      <x:c r="A97" s="43" t="str">
        <x:v>IS_BASIC_EPS</x:v>
      </x:c>
      <x:c r="B97" s="43" t="str">
        <x:v>H3B_ATTEMPT005</x:v>
      </x:c>
      <x:c r="C97" s="43" t="str">
        <x:v>BASE</x:v>
      </x:c>
      <x:c r="D97" s="43" t="str">
        <x:v>RMB_PER_SHARE</x:v>
      </x:c>
      <x:c r="E97" s="43" t="n">
        <x:v>6.49294124</x:v>
      </x:c>
      <x:c r="F97" s="43" t="n">
        <x:v>2028</x:v>
      </x:c>
      <x:c r="G97" s="39"/>
      <x:c r="H97" s="39"/>
    </x:row>
    <x:row r="98">
      <x:c r="A98" s="43" t="str">
        <x:v>IS_CREDIT_IMPAIRMENT</x:v>
      </x:c>
      <x:c r="B98" s="43" t="str">
        <x:v>H3B_ATTEMPT005</x:v>
      </x:c>
      <x:c r="C98" s="43" t="str">
        <x:v>BASE</x:v>
      </x:c>
      <x:c r="D98" s="43" t="str">
        <x:v>RMB_MILLION</x:v>
      </x:c>
      <x:c r="E98" s="43" t="n">
        <x:v>-438.58522736</x:v>
      </x:c>
      <x:c r="F98" s="43" t="n">
        <x:v>2028</x:v>
      </x:c>
      <x:c r="G98" s="39"/>
      <x:c r="H98" s="39"/>
    </x:row>
    <x:row r="99">
      <x:c r="A99" s="43" t="str">
        <x:v>IS_DILUTED_EPS</x:v>
      </x:c>
      <x:c r="B99" s="43" t="str">
        <x:v>H3B_ATTEMPT005</x:v>
      </x:c>
      <x:c r="C99" s="43" t="str">
        <x:v>BASE</x:v>
      </x:c>
      <x:c r="D99" s="43" t="str">
        <x:v>RMB_PER_SHARE</x:v>
      </x:c>
      <x:c r="E99" s="43" t="n">
        <x:v>6.49294124</x:v>
      </x:c>
      <x:c r="F99" s="43" t="n">
        <x:v>2028</x:v>
      </x:c>
      <x:c r="G99" s="39"/>
      <x:c r="H99" s="39"/>
    </x:row>
    <x:row r="100">
      <x:c r="A100" s="43" t="str">
        <x:v>IS_FAIR_VALUE_CHANGE</x:v>
      </x:c>
      <x:c r="B100" s="43" t="str">
        <x:v>H3B_ATTEMPT005</x:v>
      </x:c>
      <x:c r="C100" s="43" t="str">
        <x:v>BASE</x:v>
      </x:c>
      <x:c r="D100" s="43" t="str">
        <x:v>RMB_MILLION</x:v>
      </x:c>
      <x:c r="E100" s="43" t="n">
        <x:v>964.22936354</x:v>
      </x:c>
      <x:c r="F100" s="43" t="n">
        <x:v>2028</x:v>
      </x:c>
      <x:c r="G100" s="39"/>
      <x:c r="H100" s="39"/>
    </x:row>
    <x:row r="101">
      <x:c r="A101" s="43" t="str">
        <x:v>IS_FEE_COMMISSION_EXPENSE</x:v>
      </x:c>
      <x:c r="B101" s="43" t="str">
        <x:v>H3B_ATTEMPT005</x:v>
      </x:c>
      <x:c r="C101" s="43" t="str">
        <x:v>BASE</x:v>
      </x:c>
      <x:c r="D101" s="43" t="str">
        <x:v>RMB_MILLION</x:v>
      </x:c>
      <x:c r="E101" s="43" t="n">
        <x:v>-2.0237086</x:v>
      </x:c>
      <x:c r="F101" s="43" t="n">
        <x:v>2028</x:v>
      </x:c>
      <x:c r="G101" s="39"/>
      <x:c r="H101" s="39"/>
    </x:row>
    <x:row r="102">
      <x:c r="A102" s="43" t="str">
        <x:v>IS_FEE_COMMISSION_INCOME</x:v>
      </x:c>
      <x:c r="B102" s="43" t="str">
        <x:v>H3B_ATTEMPT005</x:v>
      </x:c>
      <x:c r="C102" s="43" t="str">
        <x:v>BASE</x:v>
      </x:c>
      <x:c r="D102" s="43" t="str">
        <x:v>RMB_MILLION</x:v>
      </x:c>
      <x:c r="E102" s="43" t="n">
        <x:v>0.62609255</x:v>
      </x:c>
      <x:c r="F102" s="43" t="n">
        <x:v>2028</x:v>
      </x:c>
      <x:c r="G102" s="39"/>
      <x:c r="H102" s="39"/>
    </x:row>
    <x:row r="103">
      <x:c r="A103" s="43" t="str">
        <x:v>IS_FINANCE_INTEREST_INCOME</x:v>
      </x:c>
      <x:c r="B103" s="43" t="str">
        <x:v>H3B_ATTEMPT005</x:v>
      </x:c>
      <x:c r="C103" s="43" t="str">
        <x:v>BASE</x:v>
      </x:c>
      <x:c r="D103" s="43" t="str">
        <x:v>RMB_MILLION</x:v>
      </x:c>
      <x:c r="E103" s="43" t="n">
        <x:v>3160.42326499</x:v>
      </x:c>
      <x:c r="F103" s="43" t="n">
        <x:v>2028</x:v>
      </x:c>
      <x:c r="G103" s="39"/>
      <x:c r="H103" s="39"/>
    </x:row>
    <x:row r="104">
      <x:c r="A104" s="43" t="str">
        <x:v>IS_FINANCE_RESULT</x:v>
      </x:c>
      <x:c r="B104" s="43" t="str">
        <x:v>H3B_ATTEMPT005</x:v>
      </x:c>
      <x:c r="C104" s="43" t="str">
        <x:v>BASE</x:v>
      </x:c>
      <x:c r="D104" s="43" t="str">
        <x:v>RMB_MILLION</x:v>
      </x:c>
      <x:c r="E104" s="43" t="n">
        <x:v>3.14716513</x:v>
      </x:c>
      <x:c r="F104" s="43" t="n">
        <x:v>2028</x:v>
      </x:c>
      <x:c r="G104" s="39"/>
      <x:c r="H104" s="39"/>
    </x:row>
    <x:row r="105">
      <x:c r="A105" s="43" t="str">
        <x:v>IS_FINANCIAL_BUSINESS_INTEREST_COST</x:v>
      </x:c>
      <x:c r="B105" s="43" t="str">
        <x:v>H3B_ATTEMPT005</x:v>
      </x:c>
      <x:c r="C105" s="43" t="str">
        <x:v>BASE</x:v>
      </x:c>
      <x:c r="D105" s="43" t="str">
        <x:v>RMB_MILLION</x:v>
      </x:c>
      <x:c r="E105" s="43" t="n">
        <x:v>-0.33892805</x:v>
      </x:c>
      <x:c r="F105" s="43" t="n">
        <x:v>2028</x:v>
      </x:c>
      <x:c r="G105" s="39"/>
      <x:c r="H105" s="39"/>
    </x:row>
    <x:row r="106">
      <x:c r="A106" s="43" t="str">
        <x:v>IS_FINANCIAL_BUSINESS_INTEREST_INCOME</x:v>
      </x:c>
      <x:c r="B106" s="43" t="str">
        <x:v>H3B_ATTEMPT005</x:v>
      </x:c>
      <x:c r="C106" s="43" t="str">
        <x:v>BASE</x:v>
      </x:c>
      <x:c r="D106" s="43" t="str">
        <x:v>RMB_MILLION</x:v>
      </x:c>
      <x:c r="E106" s="43" t="n">
        <x:v>2526.76164338</x:v>
      </x:c>
      <x:c r="F106" s="43" t="n">
        <x:v>2028</x:v>
      </x:c>
      <x:c r="G106" s="39"/>
      <x:c r="H106" s="39"/>
    </x:row>
    <x:row r="107">
      <x:c r="A107" s="43" t="str">
        <x:v>IS_FINANCING_INTEREST_EXPENSE</x:v>
      </x:c>
      <x:c r="B107" s="43" t="str">
        <x:v>H3B_ATTEMPT005</x:v>
      </x:c>
      <x:c r="C107" s="43" t="str">
        <x:v>BASE</x:v>
      </x:c>
      <x:c r="D107" s="43" t="str">
        <x:v>RMB_MILLION</x:v>
      </x:c>
      <x:c r="E107" s="43" t="n">
        <x:v>-3156.93717181</x:v>
      </x:c>
      <x:c r="F107" s="43" t="n">
        <x:v>2028</x:v>
      </x:c>
      <x:c r="G107" s="39"/>
      <x:c r="H107" s="39"/>
    </x:row>
    <x:row r="108">
      <x:c r="A108" s="43" t="str">
        <x:v>IS_INCOME_TAX</x:v>
      </x:c>
      <x:c r="B108" s="43" t="str">
        <x:v>H3B_ATTEMPT005</x:v>
      </x:c>
      <x:c r="C108" s="43" t="str">
        <x:v>BASE</x:v>
      </x:c>
      <x:c r="D108" s="43" t="str">
        <x:v>RMB_MILLION</x:v>
      </x:c>
      <x:c r="E108" s="43" t="n">
        <x:v>-8833.31954714</x:v>
      </x:c>
      <x:c r="F108" s="43" t="n">
        <x:v>2028</x:v>
      </x:c>
      <x:c r="G108" s="39"/>
      <x:c r="H108" s="39"/>
    </x:row>
    <x:row r="109">
      <x:c r="A109" s="43" t="str">
        <x:v>IS_INVESTMENT_INCOME</x:v>
      </x:c>
      <x:c r="B109" s="43" t="str">
        <x:v>H3B_ATTEMPT005</x:v>
      </x:c>
      <x:c r="C109" s="43" t="str">
        <x:v>BASE</x:v>
      </x:c>
      <x:c r="D109" s="43" t="str">
        <x:v>RMB_MILLION</x:v>
      </x:c>
      <x:c r="E109" s="43" t="n">
        <x:v>2088.61147639</x:v>
      </x:c>
      <x:c r="F109" s="43" t="n">
        <x:v>2028</x:v>
      </x:c>
      <x:c r="G109" s="39"/>
      <x:c r="H109" s="39"/>
    </x:row>
    <x:row r="110">
      <x:c r="A110" s="43" t="str">
        <x:v>IS_NCI_PROFIT</x:v>
      </x:c>
      <x:c r="B110" s="43" t="str">
        <x:v>H3B_ATTEMPT005</x:v>
      </x:c>
      <x:c r="C110" s="43" t="str">
        <x:v>BASE</x:v>
      </x:c>
      <x:c r="D110" s="43" t="str">
        <x:v>RMB_MILLION</x:v>
      </x:c>
      <x:c r="E110" s="43" t="n">
        <x:v>628.65530563</x:v>
      </x:c>
      <x:c r="F110" s="43" t="n">
        <x:v>2028</x:v>
      </x:c>
      <x:c r="G110" s="39"/>
      <x:c r="H110" s="39"/>
    </x:row>
    <x:row r="111">
      <x:c r="A111" s="43" t="str">
        <x:v>IS_NET_PROFIT</x:v>
      </x:c>
      <x:c r="B111" s="43" t="str">
        <x:v>H3B_ATTEMPT005</x:v>
      </x:c>
      <x:c r="C111" s="43" t="str">
        <x:v>BASE</x:v>
      </x:c>
      <x:c r="D111" s="43" t="str">
        <x:v>RMB_MILLION</x:v>
      </x:c>
      <x:c r="E111" s="43" t="n">
        <x:v>48692.74149982</x:v>
      </x:c>
      <x:c r="F111" s="43" t="n">
        <x:v>2028</x:v>
      </x:c>
      <x:c r="G111" s="39"/>
      <x:c r="H111" s="39"/>
    </x:row>
    <x:row r="112">
      <x:c r="A112" s="43" t="str">
        <x:v>IS_OPERATING_COST</x:v>
      </x:c>
      <x:c r="B112" s="43" t="str">
        <x:v>H3B_ATTEMPT005</x:v>
      </x:c>
      <x:c r="C112" s="43" t="str">
        <x:v>BASE</x:v>
      </x:c>
      <x:c r="D112" s="43" t="str">
        <x:v>RMB_MILLION</x:v>
      </x:c>
      <x:c r="E112" s="43" t="n">
        <x:v>-417901.24463655</x:v>
      </x:c>
      <x:c r="F112" s="43" t="n">
        <x:v>2028</x:v>
      </x:c>
      <x:c r="G112" s="39"/>
      <x:c r="H112" s="39"/>
    </x:row>
    <x:row r="113">
      <x:c r="A113" s="43" t="str">
        <x:v>IS_OPERATING_PROFIT</x:v>
      </x:c>
      <x:c r="B113" s="43" t="str">
        <x:v>H3B_ATTEMPT005</x:v>
      </x:c>
      <x:c r="C113" s="43" t="str">
        <x:v>BASE</x:v>
      </x:c>
      <x:c r="D113" s="43" t="str">
        <x:v>RMB_MILLION</x:v>
      </x:c>
      <x:c r="E113" s="43" t="n">
        <x:v>57526.06104696</x:v>
      </x:c>
      <x:c r="F113" s="43" t="n">
        <x:v>2028</x:v>
      </x:c>
      <x:c r="G113" s="39"/>
      <x:c r="H113" s="39"/>
    </x:row>
    <x:row r="114">
      <x:c r="A114" s="43" t="str">
        <x:v>IS_OPERATING_REVENUE</x:v>
      </x:c>
      <x:c r="B114" s="43" t="str">
        <x:v>H3B_ATTEMPT005</x:v>
      </x:c>
      <x:c r="C114" s="43" t="str">
        <x:v>BASE</x:v>
      </x:c>
      <x:c r="D114" s="43" t="str">
        <x:v>RMB_MILLION</x:v>
      </x:c>
      <x:c r="E114" s="43" t="n">
        <x:v>562561.08082174</x:v>
      </x:c>
      <x:c r="F114" s="43" t="n">
        <x:v>2028</x:v>
      </x:c>
      <x:c r="G114" s="39"/>
      <x:c r="H114" s="39"/>
    </x:row>
    <x:row r="115">
      <x:c r="A115" s="43" t="str">
        <x:v>IS_OTHER_INCOME</x:v>
      </x:c>
      <x:c r="B115" s="43" t="str">
        <x:v>H3B_ATTEMPT005</x:v>
      </x:c>
      <x:c r="C115" s="43" t="str">
        <x:v>BASE</x:v>
      </x:c>
      <x:c r="D115" s="43" t="str">
        <x:v>RMB_MILLION</x:v>
      </x:c>
      <x:c r="E115" s="43" t="n">
        <x:v>3110.09080727</x:v>
      </x:c>
      <x:c r="F115" s="43" t="n">
        <x:v>2028</x:v>
      </x:c>
      <x:c r="G115" s="39"/>
      <x:c r="H115" s="39"/>
    </x:row>
    <x:row r="116">
      <x:c r="A116" s="43" t="str">
        <x:v>IS_PBT</x:v>
      </x:c>
      <x:c r="B116" s="43" t="str">
        <x:v>H3B_ATTEMPT005</x:v>
      </x:c>
      <x:c r="C116" s="43" t="str">
        <x:v>BASE</x:v>
      </x:c>
      <x:c r="D116" s="43" t="str">
        <x:v>RMB_MILLION</x:v>
      </x:c>
      <x:c r="E116" s="43" t="n">
        <x:v>57526.06104696</x:v>
      </x:c>
      <x:c r="F116" s="43" t="n">
        <x:v>2028</x:v>
      </x:c>
      <x:c r="G116" s="39"/>
      <x:c r="H116" s="39"/>
    </x:row>
    <x:row r="117">
      <x:c r="A117" s="43" t="str">
        <x:v>IS_RD_EXPENSE</x:v>
      </x:c>
      <x:c r="B117" s="43" t="str">
        <x:v>H3B_ATTEMPT005</x:v>
      </x:c>
      <x:c r="C117" s="43" t="str">
        <x:v>BASE</x:v>
      </x:c>
      <x:c r="D117" s="43" t="str">
        <x:v>RMB_MILLION</x:v>
      </x:c>
      <x:c r="E117" s="43" t="n">
        <x:v>-20562.1289419</x:v>
      </x:c>
      <x:c r="F117" s="43" t="n">
        <x:v>2028</x:v>
      </x:c>
      <x:c r="G117" s="39"/>
      <x:c r="H117" s="39"/>
    </x:row>
    <x:row r="118">
      <x:c r="A118" s="43" t="str">
        <x:v>IS_SELLING_EXPENSE</x:v>
      </x:c>
      <x:c r="B118" s="43" t="str">
        <x:v>H3B_ATTEMPT005</x:v>
      </x:c>
      <x:c r="C118" s="43" t="str">
        <x:v>BASE</x:v>
      </x:c>
      <x:c r="D118" s="43" t="str">
        <x:v>RMB_MILLION</x:v>
      </x:c>
      <x:c r="E118" s="43" t="n">
        <x:v>-51942.19585588</x:v>
      </x:c>
      <x:c r="F118" s="43" t="n">
        <x:v>2028</x:v>
      </x:c>
      <x:c r="G118" s="39"/>
      <x:c r="H118" s="39"/>
    </x:row>
    <x:row r="119">
      <x:c r="A119" s="43" t="str">
        <x:v>IS_TAXES_SURCHARGES</x:v>
      </x:c>
      <x:c r="B119" s="43" t="str">
        <x:v>H3B_ATTEMPT005</x:v>
      </x:c>
      <x:c r="C119" s="43" t="str">
        <x:v>BASE</x:v>
      </x:c>
      <x:c r="D119" s="43" t="str">
        <x:v>RMB_MILLION</x:v>
      </x:c>
      <x:c r="E119" s="43" t="n">
        <x:v>-2732.73253582</x:v>
      </x:c>
      <x:c r="F119" s="43" t="n">
        <x:v>2028</x:v>
      </x:c>
      <x:c r="G119" s="39"/>
      <x:c r="H119" s="39"/>
    </x:row>
    <x:row r="120">
      <x:c r="A120" s="43" t="str">
        <x:v>IS_TOTAL_REVENUE</x:v>
      </x:c>
      <x:c r="B120" s="43" t="str">
        <x:v>H3B_ATTEMPT005</x:v>
      </x:c>
      <x:c r="C120" s="43" t="str">
        <x:v>BASE</x:v>
      </x:c>
      <x:c r="D120" s="43" t="str">
        <x:v>RMB_MILLION</x:v>
      </x:c>
      <x:c r="E120" s="43" t="n">
        <x:v>565088.46855767</x:v>
      </x:c>
      <x:c r="F120" s="43" t="n">
        <x:v>2028</x:v>
      </x:c>
      <x:c r="G120" s="39"/>
      <x:c r="H120" s="39"/>
    </x:row>
    <x:row r="121">
      <x:c r="A121" s="43" t="str">
        <x:v>IS_ADJUSTED_ATTRIBUTABLE_NI</x:v>
      </x:c>
      <x:c r="B121" s="43" t="str">
        <x:v>H3B_ATTEMPT005</x:v>
      </x:c>
      <x:c r="C121" s="43" t="str">
        <x:v>BASE</x:v>
      </x:c>
      <x:c r="D121" s="43" t="str">
        <x:v>RMB_MILLION</x:v>
      </x:c>
      <x:c r="E121" s="43" t="n">
        <x:v>48470.91017195</x:v>
      </x:c>
      <x:c r="F121" s="43" t="n">
        <x:v>2029</x:v>
      </x:c>
      <x:c r="G121" s="39"/>
      <x:c r="H121" s="39"/>
    </x:row>
    <x:row r="122">
      <x:c r="A122" s="43" t="str">
        <x:v>IS_ADMIN_EXPENSE</x:v>
      </x:c>
      <x:c r="B122" s="43" t="str">
        <x:v>H3B_ATTEMPT005</x:v>
      </x:c>
      <x:c r="C122" s="43" t="str">
        <x:v>BASE</x:v>
      </x:c>
      <x:c r="D122" s="43" t="str">
        <x:v>RMB_MILLION</x:v>
      </x:c>
      <x:c r="E122" s="43" t="n">
        <x:v>-20500.96990088</x:v>
      </x:c>
      <x:c r="F122" s="43" t="n">
        <x:v>2029</x:v>
      </x:c>
      <x:c r="G122" s="39"/>
      <x:c r="H122" s="39"/>
    </x:row>
    <x:row r="123">
      <x:c r="A123" s="43" t="str">
        <x:v>IS_ASSET_DISPOSAL</x:v>
      </x:c>
      <x:c r="B123" s="43" t="str">
        <x:v>H3B_ATTEMPT005</x:v>
      </x:c>
      <x:c r="C123" s="43" t="str">
        <x:v>BASE</x:v>
      </x:c>
      <x:c r="D123" s="43" t="str">
        <x:v>RMB_MILLION</x:v>
      </x:c>
      <x:c r="E123" s="43" t="n">
        <x:v>-101.65379165</x:v>
      </x:c>
      <x:c r="F123" s="43" t="n">
        <x:v>2029</x:v>
      </x:c>
      <x:c r="G123" s="39"/>
      <x:c r="H123" s="39"/>
    </x:row>
    <x:row r="124">
      <x:c r="A124" s="43" t="str">
        <x:v>IS_ASSET_IMPAIRMENT</x:v>
      </x:c>
      <x:c r="B124" s="43" t="str">
        <x:v>H3B_ATTEMPT005</x:v>
      </x:c>
      <x:c r="C124" s="43" t="str">
        <x:v>BASE</x:v>
      </x:c>
      <x:c r="D124" s="43" t="str">
        <x:v>RMB_MILLION</x:v>
      </x:c>
      <x:c r="E124" s="43" t="n">
        <x:v>-1546.34666384</x:v>
      </x:c>
      <x:c r="F124" s="43" t="n">
        <x:v>2029</x:v>
      </x:c>
      <x:c r="G124" s="39"/>
      <x:c r="H124" s="39"/>
    </x:row>
    <x:row r="125">
      <x:c r="A125" s="43" t="str">
        <x:v>IS_ATTRIBUTABLE_NI</x:v>
      </x:c>
      <x:c r="B125" s="43" t="str">
        <x:v>H3B_ATTEMPT005</x:v>
      </x:c>
      <x:c r="C125" s="43" t="str">
        <x:v>BASE</x:v>
      </x:c>
      <x:c r="D125" s="43" t="str">
        <x:v>RMB_MILLION</x:v>
      </x:c>
      <x:c r="E125" s="43" t="n">
        <x:v>51616.59540029</x:v>
      </x:c>
      <x:c r="F125" s="43" t="n">
        <x:v>2029</x:v>
      </x:c>
      <x:c r="G125" s="39"/>
      <x:c r="H125" s="39"/>
    </x:row>
    <x:row r="126">
      <x:c r="A126" s="43" t="str">
        <x:v>IS_BASIC_EPS</x:v>
      </x:c>
      <x:c r="B126" s="43" t="str">
        <x:v>H3B_ATTEMPT005</x:v>
      </x:c>
      <x:c r="C126" s="43" t="str">
        <x:v>BASE</x:v>
      </x:c>
      <x:c r="D126" s="43" t="str">
        <x:v>RMB_PER_SHARE</x:v>
      </x:c>
      <x:c r="E126" s="43" t="n">
        <x:v>6.97284703</x:v>
      </x:c>
      <x:c r="F126" s="43" t="n">
        <x:v>2029</x:v>
      </x:c>
      <x:c r="G126" s="39"/>
      <x:c r="H126" s="39"/>
    </x:row>
    <x:row r="127">
      <x:c r="A127" s="43" t="str">
        <x:v>IS_CREDIT_IMPAIRMENT</x:v>
      </x:c>
      <x:c r="B127" s="43" t="str">
        <x:v>H3B_ATTEMPT005</x:v>
      </x:c>
      <x:c r="C127" s="43" t="str">
        <x:v>BASE</x:v>
      </x:c>
      <x:c r="D127" s="43" t="str">
        <x:v>RMB_MILLION</x:v>
      </x:c>
      <x:c r="E127" s="43" t="n">
        <x:v>-475.8302417</x:v>
      </x:c>
      <x:c r="F127" s="43" t="n">
        <x:v>2029</x:v>
      </x:c>
      <x:c r="G127" s="39"/>
      <x:c r="H127" s="39"/>
    </x:row>
    <x:row r="128">
      <x:c r="A128" s="43" t="str">
        <x:v>IS_DILUTED_EPS</x:v>
      </x:c>
      <x:c r="B128" s="43" t="str">
        <x:v>H3B_ATTEMPT005</x:v>
      </x:c>
      <x:c r="C128" s="43" t="str">
        <x:v>BASE</x:v>
      </x:c>
      <x:c r="D128" s="43" t="str">
        <x:v>RMB_PER_SHARE</x:v>
      </x:c>
      <x:c r="E128" s="43" t="n">
        <x:v>6.97284703</x:v>
      </x:c>
      <x:c r="F128" s="43" t="n">
        <x:v>2029</x:v>
      </x:c>
      <x:c r="G128" s="39"/>
      <x:c r="H128" s="39"/>
    </x:row>
    <x:row r="129">
      <x:c r="A129" s="43" t="str">
        <x:v>IS_FAIR_VALUE_CHANGE</x:v>
      </x:c>
      <x:c r="B129" s="43" t="str">
        <x:v>H3B_ATTEMPT005</x:v>
      </x:c>
      <x:c r="C129" s="43" t="str">
        <x:v>BASE</x:v>
      </x:c>
      <x:c r="D129" s="43" t="str">
        <x:v>RMB_MILLION</x:v>
      </x:c>
      <x:c r="E129" s="43" t="n">
        <x:v>1046.11250559</x:v>
      </x:c>
      <x:c r="F129" s="43" t="n">
        <x:v>2029</x:v>
      </x:c>
      <x:c r="G129" s="39"/>
      <x:c r="H129" s="39"/>
    </x:row>
    <x:row r="130">
      <x:c r="A130" s="43" t="str">
        <x:v>IS_FEE_COMMISSION_EXPENSE</x:v>
      </x:c>
      <x:c r="B130" s="43" t="str">
        <x:v>H3B_ATTEMPT005</x:v>
      </x:c>
      <x:c r="C130" s="43" t="str">
        <x:v>BASE</x:v>
      </x:c>
      <x:c r="D130" s="43" t="str">
        <x:v>RMB_MILLION</x:v>
      </x:c>
      <x:c r="E130" s="43" t="n">
        <x:v>-2.19556358</x:v>
      </x:c>
      <x:c r="F130" s="43" t="n">
        <x:v>2029</x:v>
      </x:c>
      <x:c r="G130" s="39"/>
      <x:c r="H130" s="39"/>
    </x:row>
    <x:row r="131">
      <x:c r="A131" s="43" t="str">
        <x:v>IS_FEE_COMMISSION_INCOME</x:v>
      </x:c>
      <x:c r="B131" s="43" t="str">
        <x:v>H3B_ATTEMPT005</x:v>
      </x:c>
      <x:c r="C131" s="43" t="str">
        <x:v>BASE</x:v>
      </x:c>
      <x:c r="D131" s="43" t="str">
        <x:v>RMB_MILLION</x:v>
      </x:c>
      <x:c r="E131" s="43" t="n">
        <x:v>0.67926084</x:v>
      </x:c>
      <x:c r="F131" s="43" t="n">
        <x:v>2029</x:v>
      </x:c>
      <x:c r="G131" s="39"/>
      <x:c r="H131" s="39"/>
    </x:row>
    <x:row r="132">
      <x:c r="A132" s="43" t="str">
        <x:v>IS_FINANCE_INTEREST_INCOME</x:v>
      </x:c>
      <x:c r="B132" s="43" t="str">
        <x:v>H3B_ATTEMPT005</x:v>
      </x:c>
      <x:c r="C132" s="43" t="str">
        <x:v>BASE</x:v>
      </x:c>
      <x:c r="D132" s="43" t="str">
        <x:v>RMB_MILLION</x:v>
      </x:c>
      <x:c r="E132" s="43" t="n">
        <x:v>3584.7800918</x:v>
      </x:c>
      <x:c r="F132" s="43" t="n">
        <x:v>2029</x:v>
      </x:c>
      <x:c r="G132" s="39"/>
      <x:c r="H132" s="39"/>
    </x:row>
    <x:row r="133">
      <x:c r="A133" s="43" t="str">
        <x:v>IS_FINANCE_RESULT</x:v>
      </x:c>
      <x:c r="B133" s="43" t="str">
        <x:v>H3B_ATTEMPT005</x:v>
      </x:c>
      <x:c r="C133" s="43" t="str">
        <x:v>BASE</x:v>
      </x:c>
      <x:c r="D133" s="43" t="str">
        <x:v>RMB_MILLION</x:v>
      </x:c>
      <x:c r="E133" s="43" t="n">
        <x:v>194.90702042</x:v>
      </x:c>
      <x:c r="F133" s="43" t="n">
        <x:v>2029</x:v>
      </x:c>
      <x:c r="G133" s="39"/>
      <x:c r="H133" s="39"/>
    </x:row>
    <x:row r="134">
      <x:c r="A134" s="43" t="str">
        <x:v>IS_FINANCIAL_BUSINESS_INTEREST_COST</x:v>
      </x:c>
      <x:c r="B134" s="43" t="str">
        <x:v>H3B_ATTEMPT005</x:v>
      </x:c>
      <x:c r="C134" s="43" t="str">
        <x:v>BASE</x:v>
      </x:c>
      <x:c r="D134" s="43" t="str">
        <x:v>RMB_MILLION</x:v>
      </x:c>
      <x:c r="E134" s="43" t="n">
        <x:v>-0.3677101</x:v>
      </x:c>
      <x:c r="F134" s="43" t="n">
        <x:v>2029</x:v>
      </x:c>
      <x:c r="G134" s="39"/>
      <x:c r="H134" s="39"/>
    </x:row>
    <x:row r="135">
      <x:c r="A135" s="43" t="str">
        <x:v>IS_FINANCIAL_BUSINESS_INTEREST_INCOME</x:v>
      </x:c>
      <x:c r="B135" s="43" t="str">
        <x:v>H3B_ATTEMPT005</x:v>
      </x:c>
      <x:c r="C135" s="43" t="str">
        <x:v>BASE</x:v>
      </x:c>
      <x:c r="D135" s="43" t="str">
        <x:v>RMB_MILLION</x:v>
      </x:c>
      <x:c r="E135" s="43" t="n">
        <x:v>2741.33629791</x:v>
      </x:c>
      <x:c r="F135" s="43" t="n">
        <x:v>2029</x:v>
      </x:c>
      <x:c r="G135" s="39"/>
      <x:c r="H135" s="39"/>
    </x:row>
    <x:row r="136">
      <x:c r="A136" s="43" t="str">
        <x:v>IS_FINANCING_INTEREST_EXPENSE</x:v>
      </x:c>
      <x:c r="B136" s="43" t="str">
        <x:v>H3B_ATTEMPT005</x:v>
      </x:c>
      <x:c r="C136" s="43" t="str">
        <x:v>BASE</x:v>
      </x:c>
      <x:c r="D136" s="43" t="str">
        <x:v>RMB_MILLION</x:v>
      </x:c>
      <x:c r="E136" s="43" t="n">
        <x:v>-3389.50536128</x:v>
      </x:c>
      <x:c r="F136" s="43" t="n">
        <x:v>2029</x:v>
      </x:c>
      <x:c r="G136" s="39"/>
      <x:c r="H136" s="39"/>
    </x:row>
    <x:row r="137">
      <x:c r="A137" s="43" t="str">
        <x:v>IS_INCOME_TAX</x:v>
      </x:c>
      <x:c r="B137" s="43" t="str">
        <x:v>H3B_ATTEMPT005</x:v>
      </x:c>
      <x:c r="C137" s="43" t="str">
        <x:v>BASE</x:v>
      </x:c>
      <x:c r="D137" s="43" t="str">
        <x:v>RMB_MILLION</x:v>
      </x:c>
      <x:c r="E137" s="43" t="n">
        <x:v>-9504.67369947</x:v>
      </x:c>
      <x:c r="F137" s="43" t="n">
        <x:v>2029</x:v>
      </x:c>
      <x:c r="G137" s="39"/>
      <x:c r="H137" s="39"/>
    </x:row>
    <x:row r="138">
      <x:c r="A138" s="43" t="str">
        <x:v>IS_INVESTMENT_INCOME</x:v>
      </x:c>
      <x:c r="B138" s="43" t="str">
        <x:v>H3B_ATTEMPT005</x:v>
      </x:c>
      <x:c r="C138" s="43" t="str">
        <x:v>BASE</x:v>
      </x:c>
      <x:c r="D138" s="43" t="str">
        <x:v>RMB_MILLION</x:v>
      </x:c>
      <x:c r="E138" s="43" t="n">
        <x:v>2265.97806226</x:v>
      </x:c>
      <x:c r="F138" s="43" t="n">
        <x:v>2029</x:v>
      </x:c>
      <x:c r="G138" s="39"/>
      <x:c r="H138" s="39"/>
    </x:row>
    <x:row r="139">
      <x:c r="A139" s="43" t="str">
        <x:v>IS_NCI_PROFIT</x:v>
      </x:c>
      <x:c r="B139" s="43" t="str">
        <x:v>H3B_ATTEMPT005</x:v>
      </x:c>
      <x:c r="C139" s="43" t="str">
        <x:v>BASE</x:v>
      </x:c>
      <x:c r="D139" s="43" t="str">
        <x:v>RMB_MILLION</x:v>
      </x:c>
      <x:c r="E139" s="43" t="n">
        <x:v>675.12043037</x:v>
      </x:c>
      <x:c r="F139" s="43" t="n">
        <x:v>2029</x:v>
      </x:c>
      <x:c r="G139" s="39"/>
      <x:c r="H139" s="39"/>
    </x:row>
    <x:row r="140">
      <x:c r="A140" s="43" t="str">
        <x:v>IS_NET_PROFIT</x:v>
      </x:c>
      <x:c r="B140" s="43" t="str">
        <x:v>H3B_ATTEMPT005</x:v>
      </x:c>
      <x:c r="C140" s="43" t="str">
        <x:v>BASE</x:v>
      </x:c>
      <x:c r="D140" s="43" t="str">
        <x:v>RMB_MILLION</x:v>
      </x:c>
      <x:c r="E140" s="43" t="n">
        <x:v>52291.71583066</x:v>
      </x:c>
      <x:c r="F140" s="43" t="n">
        <x:v>2029</x:v>
      </x:c>
      <x:c r="G140" s="39"/>
      <x:c r="H140" s="39"/>
    </x:row>
    <x:row r="141">
      <x:c r="A141" s="43" t="str">
        <x:v>IS_OPERATING_COST</x:v>
      </x:c>
      <x:c r="B141" s="43" t="str">
        <x:v>H3B_ATTEMPT005</x:v>
      </x:c>
      <x:c r="C141" s="43" t="str">
        <x:v>BASE</x:v>
      </x:c>
      <x:c r="D141" s="43" t="str">
        <x:v>RMB_MILLION</x:v>
      </x:c>
      <x:c r="E141" s="43" t="n">
        <x:v>-453307.72654706</x:v>
      </x:c>
      <x:c r="F141" s="43" t="n">
        <x:v>2029</x:v>
      </x:c>
      <x:c r="G141" s="39"/>
      <x:c r="H141" s="39"/>
    </x:row>
    <x:row r="142">
      <x:c r="A142" s="43" t="str">
        <x:v>IS_OPERATING_PROFIT</x:v>
      </x:c>
      <x:c r="B142" s="43" t="str">
        <x:v>H3B_ATTEMPT005</x:v>
      </x:c>
      <x:c r="C142" s="43" t="str">
        <x:v>BASE</x:v>
      </x:c>
      <x:c r="D142" s="43" t="str">
        <x:v>RMB_MILLION</x:v>
      </x:c>
      <x:c r="E142" s="43" t="n">
        <x:v>61796.38953013</x:v>
      </x:c>
      <x:c r="F142" s="43" t="n">
        <x:v>2029</x:v>
      </x:c>
      <x:c r="G142" s="39"/>
      <x:c r="H142" s="39"/>
    </x:row>
    <x:row r="143">
      <x:c r="A143" s="43" t="str">
        <x:v>IS_OPERATING_REVENUE</x:v>
      </x:c>
      <x:c r="B143" s="43" t="str">
        <x:v>H3B_ATTEMPT005</x:v>
      </x:c>
      <x:c r="C143" s="43" t="str">
        <x:v>BASE</x:v>
      </x:c>
      <x:c r="D143" s="43" t="str">
        <x:v>RMB_MILLION</x:v>
      </x:c>
      <x:c r="E143" s="43" t="n">
        <x:v>610334.22550481</x:v>
      </x:c>
      <x:c r="F143" s="43" t="n">
        <x:v>2029</x:v>
      </x:c>
      <x:c r="G143" s="39"/>
      <x:c r="H143" s="39"/>
    </x:row>
    <x:row r="144">
      <x:c r="A144" s="43" t="str">
        <x:v>IS_OTHER_INCOME</x:v>
      </x:c>
      <x:c r="B144" s="43" t="str">
        <x:v>H3B_ATTEMPT005</x:v>
      </x:c>
      <x:c r="C144" s="43" t="str">
        <x:v>BASE</x:v>
      </x:c>
      <x:c r="D144" s="43" t="str">
        <x:v>RMB_MILLION</x:v>
      </x:c>
      <x:c r="E144" s="43" t="n">
        <x:v>3374.20224899</x:v>
      </x:c>
      <x:c r="F144" s="43" t="n">
        <x:v>2029</x:v>
      </x:c>
      <x:c r="G144" s="39"/>
      <x:c r="H144" s="39"/>
    </x:row>
    <x:row r="145">
      <x:c r="A145" s="43" t="str">
        <x:v>IS_PBT</x:v>
      </x:c>
      <x:c r="B145" s="43" t="str">
        <x:v>H3B_ATTEMPT005</x:v>
      </x:c>
      <x:c r="C145" s="43" t="str">
        <x:v>BASE</x:v>
      </x:c>
      <x:c r="D145" s="43" t="str">
        <x:v>RMB_MILLION</x:v>
      </x:c>
      <x:c r="E145" s="43" t="n">
        <x:v>61796.38953013</x:v>
      </x:c>
      <x:c r="F145" s="43" t="n">
        <x:v>2029</x:v>
      </x:c>
      <x:c r="G145" s="39"/>
      <x:c r="H145" s="39"/>
    </x:row>
    <x:row r="146">
      <x:c r="A146" s="43" t="str">
        <x:v>IS_RD_EXPENSE</x:v>
      </x:c>
      <x:c r="B146" s="43" t="str">
        <x:v>H3B_ATTEMPT005</x:v>
      </x:c>
      <x:c r="C146" s="43" t="str">
        <x:v>BASE</x:v>
      </x:c>
      <x:c r="D146" s="43" t="str">
        <x:v>RMB_MILLION</x:v>
      </x:c>
      <x:c r="E146" s="43" t="n">
        <x:v>-22581.49655637</x:v>
      </x:c>
      <x:c r="F146" s="43" t="n">
        <x:v>2029</x:v>
      </x:c>
      <x:c r="G146" s="39"/>
      <x:c r="H146" s="39"/>
    </x:row>
    <x:row r="147">
      <x:c r="A147" s="43" t="str">
        <x:v>IS_SELLING_EXPENSE</x:v>
      </x:c>
      <x:c r="B147" s="43" t="str">
        <x:v>H3B_ATTEMPT005</x:v>
      </x:c>
      <x:c r="C147" s="43" t="str">
        <x:v>BASE</x:v>
      </x:c>
      <x:c r="D147" s="43" t="str">
        <x:v>RMB_MILLION</x:v>
      </x:c>
      <x:c r="E147" s="43" t="n">
        <x:v>-56680.0336995</x:v>
      </x:c>
      <x:c r="F147" s="43" t="n">
        <x:v>2029</x:v>
      </x:c>
      <x:c r="G147" s="39"/>
      <x:c r="H147" s="39"/>
    </x:row>
    <x:row r="148">
      <x:c r="A148" s="43" t="str">
        <x:v>IS_TAXES_SURCHARGES</x:v>
      </x:c>
      <x:c r="B148" s="43" t="str">
        <x:v>H3B_ATTEMPT005</x:v>
      </x:c>
      <x:c r="C148" s="43" t="str">
        <x:v>BASE</x:v>
      </x:c>
      <x:c r="D148" s="43" t="str">
        <x:v>RMB_MILLION</x:v>
      </x:c>
      <x:c r="E148" s="43" t="n">
        <x:v>-2964.79840611</x:v>
      </x:c>
      <x:c r="F148" s="43" t="n">
        <x:v>2029</x:v>
      </x:c>
      <x:c r="G148" s="39"/>
      <x:c r="H148" s="39"/>
    </x:row>
    <x:row r="149">
      <x:c r="A149" s="43" t="str">
        <x:v>IS_TOTAL_REVENUE</x:v>
      </x:c>
      <x:c r="B149" s="43" t="str">
        <x:v>H3B_ATTEMPT005</x:v>
      </x:c>
      <x:c r="C149" s="43" t="str">
        <x:v>BASE</x:v>
      </x:c>
      <x:c r="D149" s="43" t="str">
        <x:v>RMB_MILLION</x:v>
      </x:c>
      <x:c r="E149" s="43" t="n">
        <x:v>613076.24106356</x:v>
      </x:c>
      <x:c r="F149" s="43" t="n">
        <x:v>2029</x:v>
      </x:c>
      <x:c r="G149" s="39"/>
      <x:c r="H149" s="39"/>
    </x:row>
    <x:row r="150">
      <x:c r="A150" s="43" t="str">
        <x:v>IS_ADJUSTED_ATTRIBUTABLE_NI</x:v>
      </x:c>
      <x:c r="B150" s="43" t="str">
        <x:v>H3B_ATTEMPT005</x:v>
      </x:c>
      <x:c r="C150" s="43" t="str">
        <x:v>BASE</x:v>
      </x:c>
      <x:c r="D150" s="43" t="str">
        <x:v>RMB_MILLION</x:v>
      </x:c>
      <x:c r="E150" s="43" t="n">
        <x:v>52432.55045382</x:v>
      </x:c>
      <x:c r="F150" s="43" t="n">
        <x:v>2030</x:v>
      </x:c>
      <x:c r="G150" s="39"/>
      <x:c r="H150" s="39"/>
    </x:row>
    <x:row r="151">
      <x:c r="A151" s="43" t="str">
        <x:v>IS_ADMIN_EXPENSE</x:v>
      </x:c>
      <x:c r="B151" s="43" t="str">
        <x:v>H3B_ATTEMPT005</x:v>
      </x:c>
      <x:c r="C151" s="43" t="str">
        <x:v>BASE</x:v>
      </x:c>
      <x:c r="D151" s="43" t="str">
        <x:v>RMB_MILLION</x:v>
      </x:c>
      <x:c r="E151" s="43" t="n">
        <x:v>-22513.70356366</x:v>
      </x:c>
      <x:c r="F151" s="43" t="n">
        <x:v>2030</x:v>
      </x:c>
      <x:c r="G151" s="39"/>
      <x:c r="H151" s="39"/>
    </x:row>
    <x:row r="152">
      <x:c r="A152" s="43" t="str">
        <x:v>IS_ASSET_DISPOSAL</x:v>
      </x:c>
      <x:c r="B152" s="43" t="str">
        <x:v>H3B_ATTEMPT005</x:v>
      </x:c>
      <x:c r="C152" s="43" t="str">
        <x:v>BASE</x:v>
      </x:c>
      <x:c r="D152" s="43" t="str">
        <x:v>RMB_MILLION</x:v>
      </x:c>
      <x:c r="E152" s="43" t="n">
        <x:v>-110.62280768</x:v>
      </x:c>
      <x:c r="F152" s="43" t="n">
        <x:v>2030</x:v>
      </x:c>
      <x:c r="G152" s="39"/>
      <x:c r="H152" s="39"/>
    </x:row>
    <x:row r="153">
      <x:c r="A153" s="43" t="str">
        <x:v>IS_ASSET_IMPAIRMENT</x:v>
      </x:c>
      <x:c r="B153" s="43" t="str">
        <x:v>H3B_ATTEMPT005</x:v>
      </x:c>
      <x:c r="C153" s="43" t="str">
        <x:v>BASE</x:v>
      </x:c>
      <x:c r="D153" s="43" t="str">
        <x:v>RMB_MILLION</x:v>
      </x:c>
      <x:c r="E153" s="43" t="n">
        <x:v>-1682.78238159</x:v>
      </x:c>
      <x:c r="F153" s="43" t="n">
        <x:v>2030</x:v>
      </x:c>
      <x:c r="G153" s="39"/>
      <x:c r="H153" s="39"/>
    </x:row>
    <x:row r="154">
      <x:c r="A154" s="43" t="str">
        <x:v>IS_ATTRIBUTABLE_NI</x:v>
      </x:c>
      <x:c r="B154" s="43" t="str">
        <x:v>H3B_ATTEMPT005</x:v>
      </x:c>
      <x:c r="C154" s="43" t="str">
        <x:v>BASE</x:v>
      </x:c>
      <x:c r="D154" s="43" t="str">
        <x:v>RMB_MILLION</x:v>
      </x:c>
      <x:c r="E154" s="43" t="n">
        <x:v>55835.33985601</x:v>
      </x:c>
      <x:c r="F154" s="43" t="n">
        <x:v>2030</x:v>
      </x:c>
      <x:c r="G154" s="39"/>
      <x:c r="H154" s="39"/>
    </x:row>
    <x:row r="155">
      <x:c r="A155" s="43" t="str">
        <x:v>IS_BASIC_EPS</x:v>
      </x:c>
      <x:c r="B155" s="43" t="str">
        <x:v>H3B_ATTEMPT005</x:v>
      </x:c>
      <x:c r="C155" s="43" t="str">
        <x:v>BASE</x:v>
      </x:c>
      <x:c r="D155" s="43" t="str">
        <x:v>RMB_PER_SHARE</x:v>
      </x:c>
      <x:c r="E155" s="43" t="n">
        <x:v>7.54275405</x:v>
      </x:c>
      <x:c r="F155" s="43" t="n">
        <x:v>2030</x:v>
      </x:c>
      <x:c r="G155" s="39"/>
      <x:c r="H155" s="39"/>
    </x:row>
    <x:row r="156">
      <x:c r="A156" s="43" t="str">
        <x:v>IS_CREDIT_IMPAIRMENT</x:v>
      </x:c>
      <x:c r="B156" s="43" t="str">
        <x:v>H3B_ATTEMPT005</x:v>
      </x:c>
      <x:c r="C156" s="43" t="str">
        <x:v>BASE</x:v>
      </x:c>
      <x:c r="D156" s="43" t="str">
        <x:v>RMB_MILLION</x:v>
      </x:c>
      <x:c r="E156" s="43" t="n">
        <x:v>-517.81322138</x:v>
      </x:c>
      <x:c r="F156" s="43" t="n">
        <x:v>2030</x:v>
      </x:c>
      <x:c r="G156" s="39"/>
      <x:c r="H156" s="39"/>
    </x:row>
    <x:row r="157">
      <x:c r="A157" s="43" t="str">
        <x:v>IS_DILUTED_EPS</x:v>
      </x:c>
      <x:c r="B157" s="43" t="str">
        <x:v>H3B_ATTEMPT005</x:v>
      </x:c>
      <x:c r="C157" s="43" t="str">
        <x:v>BASE</x:v>
      </x:c>
      <x:c r="D157" s="43" t="str">
        <x:v>RMB_PER_SHARE</x:v>
      </x:c>
      <x:c r="E157" s="43" t="n">
        <x:v>7.54275405</x:v>
      </x:c>
      <x:c r="F157" s="43" t="n">
        <x:v>2030</x:v>
      </x:c>
      <x:c r="G157" s="39"/>
      <x:c r="H157" s="39"/>
    </x:row>
    <x:row r="158">
      <x:c r="A158" s="43" t="str">
        <x:v>IS_FAIR_VALUE_CHANGE</x:v>
      </x:c>
      <x:c r="B158" s="43" t="str">
        <x:v>H3B_ATTEMPT005</x:v>
      </x:c>
      <x:c r="C158" s="43" t="str">
        <x:v>BASE</x:v>
      </x:c>
      <x:c r="D158" s="43" t="str">
        <x:v>RMB_MILLION</x:v>
      </x:c>
      <x:c r="E158" s="43" t="n">
        <x:v>1138.41206163</x:v>
      </x:c>
      <x:c r="F158" s="43" t="n">
        <x:v>2030</x:v>
      </x:c>
      <x:c r="G158" s="39"/>
      <x:c r="H158" s="39"/>
    </x:row>
    <x:row r="159">
      <x:c r="A159" s="43" t="str">
        <x:v>IS_FEE_COMMISSION_EXPENSE</x:v>
      </x:c>
      <x:c r="B159" s="43" t="str">
        <x:v>H3B_ATTEMPT005</x:v>
      </x:c>
      <x:c r="C159" s="43" t="str">
        <x:v>BASE</x:v>
      </x:c>
      <x:c r="D159" s="43" t="str">
        <x:v>RMB_MILLION</x:v>
      </x:c>
      <x:c r="E159" s="43" t="n">
        <x:v>-2.38928036</x:v>
      </x:c>
      <x:c r="F159" s="43" t="n">
        <x:v>2030</x:v>
      </x:c>
      <x:c r="G159" s="39"/>
      <x:c r="H159" s="39"/>
    </x:row>
    <x:row r="160">
      <x:c r="A160" s="43" t="str">
        <x:v>IS_FEE_COMMISSION_INCOME</x:v>
      </x:c>
      <x:c r="B160" s="43" t="str">
        <x:v>H3B_ATTEMPT005</x:v>
      </x:c>
      <x:c r="C160" s="43" t="str">
        <x:v>BASE</x:v>
      </x:c>
      <x:c r="D160" s="43" t="str">
        <x:v>RMB_MILLION</x:v>
      </x:c>
      <x:c r="E160" s="43" t="n">
        <x:v>0.73919271</x:v>
      </x:c>
      <x:c r="F160" s="43" t="n">
        <x:v>2030</x:v>
      </x:c>
      <x:c r="G160" s="39"/>
      <x:c r="H160" s="39"/>
    </x:row>
    <x:row r="161">
      <x:c r="A161" s="43" t="str">
        <x:v>IS_FINANCE_INTEREST_INCOME</x:v>
      </x:c>
      <x:c r="B161" s="43" t="str">
        <x:v>H3B_ATTEMPT005</x:v>
      </x:c>
      <x:c r="C161" s="43" t="str">
        <x:v>BASE</x:v>
      </x:c>
      <x:c r="D161" s="43" t="str">
        <x:v>RMB_MILLION</x:v>
      </x:c>
      <x:c r="E161" s="43" t="n">
        <x:v>4047.26865377</x:v>
      </x:c>
      <x:c r="F161" s="43" t="n">
        <x:v>2030</x:v>
      </x:c>
      <x:c r="G161" s="39"/>
      <x:c r="H161" s="39"/>
    </x:row>
    <x:row r="162">
      <x:c r="A162" s="43" t="str">
        <x:v>IS_FINANCE_RESULT</x:v>
      </x:c>
      <x:c r="B162" s="43" t="str">
        <x:v>H3B_ATTEMPT005</x:v>
      </x:c>
      <x:c r="C162" s="43" t="str">
        <x:v>BASE</x:v>
      </x:c>
      <x:c r="D162" s="43" t="str">
        <x:v>RMB_MILLION</x:v>
      </x:c>
      <x:c r="E162" s="43" t="n">
        <x:v>393.85326747</x:v>
      </x:c>
      <x:c r="F162" s="43" t="n">
        <x:v>2030</x:v>
      </x:c>
      <x:c r="G162" s="39"/>
      <x:c r="H162" s="39"/>
    </x:row>
    <x:row r="163">
      <x:c r="A163" s="43" t="str">
        <x:v>IS_FINANCIAL_BUSINESS_INTEREST_COST</x:v>
      </x:c>
      <x:c r="B163" s="43" t="str">
        <x:v>H3B_ATTEMPT005</x:v>
      </x:c>
      <x:c r="C163" s="43" t="str">
        <x:v>BASE</x:v>
      </x:c>
      <x:c r="D163" s="43" t="str">
        <x:v>RMB_MILLION</x:v>
      </x:c>
      <x:c r="E163" s="43" t="n">
        <x:v>-0.40015353</x:v>
      </x:c>
      <x:c r="F163" s="43" t="n">
        <x:v>2030</x:v>
      </x:c>
      <x:c r="G163" s="39"/>
      <x:c r="H163" s="39"/>
    </x:row>
    <x:row r="164">
      <x:c r="A164" s="43" t="str">
        <x:v>IS_FINANCIAL_BUSINESS_INTEREST_INCOME</x:v>
      </x:c>
      <x:c r="B164" s="43" t="str">
        <x:v>H3B_ATTEMPT005</x:v>
      </x:c>
      <x:c r="C164" s="43" t="str">
        <x:v>BASE</x:v>
      </x:c>
      <x:c r="D164" s="43" t="str">
        <x:v>RMB_MILLION</x:v>
      </x:c>
      <x:c r="E164" s="43" t="n">
        <x:v>2983.20715013</x:v>
      </x:c>
      <x:c r="F164" s="43" t="n">
        <x:v>2030</x:v>
      </x:c>
      <x:c r="G164" s="39"/>
      <x:c r="H164" s="39"/>
    </x:row>
    <x:row r="165">
      <x:c r="A165" s="43" t="str">
        <x:v>IS_FINANCING_INTEREST_EXPENSE</x:v>
      </x:c>
      <x:c r="B165" s="43" t="str">
        <x:v>H3B_ATTEMPT005</x:v>
      </x:c>
      <x:c r="C165" s="43" t="str">
        <x:v>BASE</x:v>
      </x:c>
      <x:c r="D165" s="43" t="str">
        <x:v>RMB_MILLION</x:v>
      </x:c>
      <x:c r="E165" s="43" t="n">
        <x:v>-3653.01523277</x:v>
      </x:c>
      <x:c r="F165" s="43" t="n">
        <x:v>2030</x:v>
      </x:c>
      <x:c r="G165" s="39"/>
      <x:c r="H165" s="39"/>
    </x:row>
    <x:row r="166">
      <x:c r="A166" s="43" t="str">
        <x:v>IS_INCOME_TAX</x:v>
      </x:c>
      <x:c r="B166" s="43" t="str">
        <x:v>H3B_ATTEMPT005</x:v>
      </x:c>
      <x:c r="C166" s="43" t="str">
        <x:v>BASE</x:v>
      </x:c>
      <x:c r="D166" s="43" t="str">
        <x:v>RMB_MILLION</x:v>
      </x:c>
      <x:c r="E166" s="43" t="n">
        <x:v>-10294.50346864</x:v>
      </x:c>
      <x:c r="F166" s="43" t="n">
        <x:v>2030</x:v>
      </x:c>
      <x:c r="G166" s="39"/>
      <x:c r="H166" s="39"/>
    </x:row>
    <x:row r="167">
      <x:c r="A167" s="43" t="str">
        <x:v>IS_INVESTMENT_INCOME</x:v>
      </x:c>
      <x:c r="B167" s="43" t="str">
        <x:v>H3B_ATTEMPT005</x:v>
      </x:c>
      <x:c r="C167" s="43" t="str">
        <x:v>BASE</x:v>
      </x:c>
      <x:c r="D167" s="43" t="str">
        <x:v>RMB_MILLION</x:v>
      </x:c>
      <x:c r="E167" s="43" t="n">
        <x:v>2465.90758038</x:v>
      </x:c>
      <x:c r="F167" s="43" t="n">
        <x:v>2030</x:v>
      </x:c>
      <x:c r="G167" s="39"/>
      <x:c r="H167" s="39"/>
    </x:row>
    <x:row r="168">
      <x:c r="A168" s="43" t="str">
        <x:v>IS_NCI_PROFIT</x:v>
      </x:c>
      <x:c r="B168" s="43" t="str">
        <x:v>H3B_ATTEMPT005</x:v>
      </x:c>
      <x:c r="C168" s="43" t="str">
        <x:v>BASE</x:v>
      </x:c>
      <x:c r="D168" s="43" t="str">
        <x:v>RMB_MILLION</x:v>
      </x:c>
      <x:c r="E168" s="43" t="n">
        <x:v>730.29959417</x:v>
      </x:c>
      <x:c r="F168" s="43" t="n">
        <x:v>2030</x:v>
      </x:c>
      <x:c r="G168" s="39"/>
      <x:c r="H168" s="39"/>
    </x:row>
    <x:row r="169">
      <x:c r="A169" s="43" t="str">
        <x:v>IS_NET_PROFIT</x:v>
      </x:c>
      <x:c r="B169" s="43" t="str">
        <x:v>H3B_ATTEMPT005</x:v>
      </x:c>
      <x:c r="C169" s="43" t="str">
        <x:v>BASE</x:v>
      </x:c>
      <x:c r="D169" s="43" t="str">
        <x:v>RMB_MILLION</x:v>
      </x:c>
      <x:c r="E169" s="43" t="n">
        <x:v>56565.63945018</x:v>
      </x:c>
      <x:c r="F169" s="43" t="n">
        <x:v>2030</x:v>
      </x:c>
      <x:c r="G169" s="39"/>
      <x:c r="H169" s="39"/>
    </x:row>
    <x:row r="170">
      <x:c r="A170" s="43" t="str">
        <x:v>IS_OPERATING_COST</x:v>
      </x:c>
      <x:c r="B170" s="43" t="str">
        <x:v>H3B_ATTEMPT005</x:v>
      </x:c>
      <x:c r="C170" s="43" t="str">
        <x:v>BASE</x:v>
      </x:c>
      <x:c r="D170" s="43" t="str">
        <x:v>RMB_MILLION</x:v>
      </x:c>
      <x:c r="E170" s="43" t="n">
        <x:v>-493245.49694774</x:v>
      </x:c>
      <x:c r="F170" s="43" t="n">
        <x:v>2030</x:v>
      </x:c>
      <x:c r="G170" s="39"/>
      <x:c r="H170" s="39"/>
    </x:row>
    <x:row r="171">
      <x:c r="A171" s="43" t="str">
        <x:v>IS_OPERATING_PROFIT</x:v>
      </x:c>
      <x:c r="B171" s="43" t="str">
        <x:v>H3B_ATTEMPT005</x:v>
      </x:c>
      <x:c r="C171" s="43" t="str">
        <x:v>BASE</x:v>
      </x:c>
      <x:c r="D171" s="43" t="str">
        <x:v>RMB_MILLION</x:v>
      </x:c>
      <x:c r="E171" s="43" t="n">
        <x:v>66860.14291882</x:v>
      </x:c>
      <x:c r="F171" s="43" t="n">
        <x:v>2030</x:v>
      </x:c>
      <x:c r="G171" s="39"/>
      <x:c r="H171" s="39"/>
    </x:row>
    <x:row r="172">
      <x:c r="A172" s="43" t="str">
        <x:v>IS_OPERATING_REVENUE</x:v>
      </x:c>
      <x:c r="B172" s="43" t="str">
        <x:v>H3B_ATTEMPT005</x:v>
      </x:c>
      <x:c r="C172" s="43" t="str">
        <x:v>BASE</x:v>
      </x:c>
      <x:c r="D172" s="43" t="str">
        <x:v>RMB_MILLION</x:v>
      </x:c>
      <x:c r="E172" s="43" t="n">
        <x:v>664184.62663046</x:v>
      </x:c>
      <x:c r="F172" s="43" t="n">
        <x:v>2030</x:v>
      </x:c>
      <x:c r="G172" s="39"/>
      <x:c r="H172" s="39"/>
    </x:row>
    <x:row r="173">
      <x:c r="A173" s="43" t="str">
        <x:v>IS_OTHER_INCOME</x:v>
      </x:c>
      <x:c r="B173" s="43" t="str">
        <x:v>H3B_ATTEMPT005</x:v>
      </x:c>
      <x:c r="C173" s="43" t="str">
        <x:v>BASE</x:v>
      </x:c>
      <x:c r="D173" s="43" t="str">
        <x:v>RMB_MILLION</x:v>
      </x:c>
      <x:c r="E173" s="43" t="n">
        <x:v>3671.9114991</x:v>
      </x:c>
      <x:c r="F173" s="43" t="n">
        <x:v>2030</x:v>
      </x:c>
      <x:c r="G173" s="39"/>
      <x:c r="H173" s="39"/>
    </x:row>
    <x:row r="174">
      <x:c r="A174" s="43" t="str">
        <x:v>IS_PBT</x:v>
      </x:c>
      <x:c r="B174" s="43" t="str">
        <x:v>H3B_ATTEMPT005</x:v>
      </x:c>
      <x:c r="C174" s="43" t="str">
        <x:v>BASE</x:v>
      </x:c>
      <x:c r="D174" s="43" t="str">
        <x:v>RMB_MILLION</x:v>
      </x:c>
      <x:c r="E174" s="43" t="n">
        <x:v>66860.14291882</x:v>
      </x:c>
      <x:c r="F174" s="43" t="n">
        <x:v>2030</x:v>
      </x:c>
      <x:c r="G174" s="39"/>
      <x:c r="H174" s="39"/>
    </x:row>
    <x:row r="175">
      <x:c r="A175" s="43" t="str">
        <x:v>IS_RD_EXPENSE</x:v>
      </x:c>
      <x:c r="B175" s="43" t="str">
        <x:v>H3B_ATTEMPT005</x:v>
      </x:c>
      <x:c r="C175" s="43" t="str">
        <x:v>BASE</x:v>
      </x:c>
      <x:c r="D175" s="43" t="str">
        <x:v>RMB_MILLION</x:v>
      </x:c>
      <x:c r="E175" s="43" t="n">
        <x:v>-24767.14325365</x:v>
      </x:c>
      <x:c r="F175" s="43" t="n">
        <x:v>2030</x:v>
      </x:c>
      <x:c r="G175" s="39"/>
      <x:c r="H175" s="39"/>
    </x:row>
    <x:row r="176">
      <x:c r="A176" s="43" t="str">
        <x:v>IS_SELLING_EXPENSE</x:v>
      </x:c>
      <x:c r="B176" s="43" t="str">
        <x:v>H3B_ATTEMPT005</x:v>
      </x:c>
      <x:c r="C176" s="43" t="str">
        <x:v>BASE</x:v>
      </x:c>
      <x:c r="D176" s="43" t="str">
        <x:v>RMB_MILLION</x:v>
      </x:c>
      <x:c r="E176" s="43" t="n">
        <x:v>-61912.17746264</x:v>
      </x:c>
      <x:c r="F176" s="43" t="n">
        <x:v>2030</x:v>
      </x:c>
      <x:c r="G176" s="39"/>
      <x:c r="H176" s="39"/>
    </x:row>
    <x:row r="177">
      <x:c r="A177" s="43" t="str">
        <x:v>IS_TAXES_SURCHARGES</x:v>
      </x:c>
      <x:c r="B177" s="43" t="str">
        <x:v>H3B_ATTEMPT005</x:v>
      </x:c>
      <x:c r="C177" s="43" t="str">
        <x:v>BASE</x:v>
      </x:c>
      <x:c r="D177" s="43" t="str">
        <x:v>RMB_MILLION</x:v>
      </x:c>
      <x:c r="E177" s="43" t="n">
        <x:v>-3226.38554436</x:v>
      </x:c>
      <x:c r="F177" s="43" t="n">
        <x:v>2030</x:v>
      </x:c>
      <x:c r="G177" s="39"/>
      <x:c r="H177" s="39"/>
    </x:row>
    <x:row r="178">
      <x:c r="A178" s="43" t="str">
        <x:v>IS_TOTAL_REVENUE</x:v>
      </x:c>
      <x:c r="B178" s="43" t="str">
        <x:v>H3B_ATTEMPT005</x:v>
      </x:c>
      <x:c r="C178" s="43" t="str">
        <x:v>BASE</x:v>
      </x:c>
      <x:c r="D178" s="43" t="str">
        <x:v>RMB_MILLION</x:v>
      </x:c>
      <x:c r="E178" s="43" t="n">
        <x:v>667168.5729733</x:v>
      </x:c>
      <x:c r="F178" s="43" t="n">
        <x:v>2030</x:v>
      </x:c>
      <x:c r="G178" s="39"/>
      <x:c r="H178" s="39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6.75" hidden="0" customWidth="1"/>
    <x:col min="2" max="2" width="14.380000114440918" hidden="0" customWidth="1"/>
    <x:col min="3" max="3" width="7.130000114440918" hidden="0" customWidth="1"/>
    <x:col min="4" max="4" width="11.5" hidden="0" customWidth="1"/>
    <x:col min="5" max="5" width="10.380000114440918" hidden="0" customWidth="1"/>
    <x:col min="6" max="6" width="4.25" hidden="0" customWidth="1"/>
  </x:cols>
  <x:sheetData>
    <x:row r="1">
      <x:c r="A1" s="37" t="str">
        <x:v>Balance Sheet</x:v>
      </x:c>
      <x:c r="B1" s="37"/>
      <x:c r="C1" s="37"/>
      <x:c r="D1" s="37"/>
      <x:c r="E1" s="37"/>
      <x:c r="F1" s="37"/>
      <x:c r="G1" s="37"/>
      <x:c r="H1" s="37"/>
    </x:row>
    <x:row r="2">
      <x:c r="A2" s="39"/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2" t="str">
        <x:v>Metric_ID</x:v>
      </x:c>
      <x:c r="B4" s="42" t="str">
        <x:v>Owner</x:v>
      </x:c>
      <x:c r="C4" s="42" t="str">
        <x:v>Scenario</x:v>
      </x:c>
      <x:c r="D4" s="42" t="str">
        <x:v>Unit</x:v>
      </x:c>
      <x:c r="E4" s="42" t="str">
        <x:v>Value</x:v>
      </x:c>
      <x:c r="F4" s="42" t="str">
        <x:v>Year</x:v>
      </x:c>
      <x:c r="G4" s="39"/>
      <x:c r="H4" s="39"/>
    </x:row>
    <x:row r="5">
      <x:c r="A5" s="43" t="str">
        <x:v>BS_AP</x:v>
      </x:c>
      <x:c r="B5" s="43" t="str">
        <x:v>H1_CERTIFIED</x:v>
      </x:c>
      <x:c r="C5" s="43" t="str">
        <x:v>BASE</x:v>
      </x:c>
      <x:c r="D5" s="43" t="str">
        <x:v>RMB_MILLION</x:v>
      </x:c>
      <x:c r="E5" s="43" t="n">
        <x:v>103680.491</x:v>
      </x:c>
      <x:c r="F5" s="43" t="n">
        <x:v>2025</x:v>
      </x:c>
      <x:c r="G5" s="39"/>
      <x:c r="H5" s="39"/>
    </x:row>
    <x:row r="6">
      <x:c r="A6" s="43" t="str">
        <x:v>BS_AR</x:v>
      </x:c>
      <x:c r="B6" s="43" t="str">
        <x:v>H1_CERTIFIED</x:v>
      </x:c>
      <x:c r="C6" s="43" t="str">
        <x:v>BASE</x:v>
      </x:c>
      <x:c r="D6" s="43" t="str">
        <x:v>RMB_MILLION</x:v>
      </x:c>
      <x:c r="E6" s="43" t="n">
        <x:v>40450.097</x:v>
      </x:c>
      <x:c r="F6" s="43" t="n">
        <x:v>2025</x:v>
      </x:c>
      <x:c r="G6" s="39"/>
      <x:c r="H6" s="39"/>
    </x:row>
    <x:row r="7">
      <x:c r="A7" s="43" t="str">
        <x:v>BS_CAPITAL_RESERVE</x:v>
      </x:c>
      <x:c r="B7" s="43" t="str">
        <x:v>H1_CERTIFIED</x:v>
      </x:c>
      <x:c r="C7" s="43" t="str">
        <x:v>BASE</x:v>
      </x:c>
      <x:c r="D7" s="43" t="str">
        <x:v>RMB_MILLION</x:v>
      </x:c>
      <x:c r="E7" s="43" t="n">
        <x:v>45350.72</x:v>
      </x:c>
      <x:c r="F7" s="43" t="n">
        <x:v>2025</x:v>
      </x:c>
      <x:c r="G7" s="39"/>
      <x:c r="H7" s="39"/>
    </x:row>
    <x:row r="8">
      <x:c r="A8" s="43" t="str">
        <x:v>BS_CASH</x:v>
      </x:c>
      <x:c r="B8" s="43" t="str">
        <x:v>H1_CERTIFIED</x:v>
      </x:c>
      <x:c r="C8" s="43" t="str">
        <x:v>BASE</x:v>
      </x:c>
      <x:c r="D8" s="43" t="str">
        <x:v>RMB_MILLION</x:v>
      </x:c>
      <x:c r="E8" s="43" t="n">
        <x:v>85247.15</x:v>
      </x:c>
      <x:c r="F8" s="43" t="n">
        <x:v>2025</x:v>
      </x:c>
      <x:c r="G8" s="39"/>
      <x:c r="H8" s="39"/>
    </x:row>
    <x:row r="9">
      <x:c r="A9" s="43" t="str">
        <x:v>BS_CASH_TAXONOMY_OTHER</x:v>
      </x:c>
      <x:c r="B9" s="43" t="str">
        <x:v>H1_CERTIFIED</x:v>
      </x:c>
      <x:c r="C9" s="43" t="str">
        <x:v>BASE</x:v>
      </x:c>
      <x:c r="D9" s="43" t="str">
        <x:v>RMB_MILLION</x:v>
      </x:c>
      <x:c r="E9" s="43" t="n">
        <x:v>80.323</x:v>
      </x:c>
      <x:c r="F9" s="43" t="n">
        <x:v>2025</x:v>
      </x:c>
      <x:c r="G9" s="39"/>
      <x:c r="H9" s="39"/>
    </x:row>
    <x:row r="10">
      <x:c r="A10" s="43" t="str">
        <x:v>BS_CIP</x:v>
      </x:c>
      <x:c r="B10" s="43" t="str">
        <x:v>H1_CERTIFIED</x:v>
      </x:c>
      <x:c r="C10" s="43" t="str">
        <x:v>BASE</x:v>
      </x:c>
      <x:c r="D10" s="43" t="str">
        <x:v>RMB_MILLION</x:v>
      </x:c>
      <x:c r="E10" s="43" t="n">
        <x:v>3054.828</x:v>
      </x:c>
      <x:c r="F10" s="43" t="n">
        <x:v>2025</x:v>
      </x:c>
      <x:c r="G10" s="39"/>
      <x:c r="H10" s="39"/>
    </x:row>
    <x:row r="11">
      <x:c r="A11" s="43" t="str">
        <x:v>BS_CONTRACT_ASSETS</x:v>
      </x:c>
      <x:c r="B11" s="43" t="str">
        <x:v>H1_CERTIFIED</x:v>
      </x:c>
      <x:c r="C11" s="43" t="str">
        <x:v>BASE</x:v>
      </x:c>
      <x:c r="D11" s="43" t="str">
        <x:v>RMB_MILLION</x:v>
      </x:c>
      <x:c r="E11" s="43" t="n">
        <x:v>4268.501</x:v>
      </x:c>
      <x:c r="F11" s="43" t="n">
        <x:v>2025</x:v>
      </x:c>
      <x:c r="G11" s="39"/>
      <x:c r="H11" s="39"/>
    </x:row>
    <x:row r="12">
      <x:c r="A12" s="43" t="str">
        <x:v>BS_CONTRACT_LIABILITIES</x:v>
      </x:c>
      <x:c r="B12" s="43" t="str">
        <x:v>H1_CERTIFIED</x:v>
      </x:c>
      <x:c r="C12" s="43" t="str">
        <x:v>BASE</x:v>
      </x:c>
      <x:c r="D12" s="43" t="str">
        <x:v>RMB_MILLION</x:v>
      </x:c>
      <x:c r="E12" s="43" t="n">
        <x:v>46993.06</x:v>
      </x:c>
      <x:c r="F12" s="43" t="n">
        <x:v>2025</x:v>
      </x:c>
      <x:c r="G12" s="39"/>
      <x:c r="H12" s="39"/>
    </x:row>
    <x:row r="13">
      <x:c r="A13" s="43" t="str">
        <x:v>BS_CURRENT_PORTION_DEBT</x:v>
      </x:c>
      <x:c r="B13" s="43" t="str">
        <x:v>H1_CERTIFIED</x:v>
      </x:c>
      <x:c r="C13" s="43" t="str">
        <x:v>BASE</x:v>
      </x:c>
      <x:c r="D13" s="43" t="str">
        <x:v>RMB_MILLION</x:v>
      </x:c>
      <x:c r="E13" s="43" t="n">
        <x:v>5821.777</x:v>
      </x:c>
      <x:c r="F13" s="43" t="n">
        <x:v>2025</x:v>
      </x:c>
      <x:c r="G13" s="39"/>
      <x:c r="H13" s="39"/>
    </x:row>
    <x:row r="14">
      <x:c r="A14" s="43" t="str">
        <x:v>BS_CURRENT_PORTION_NONCURRENT_ASSETS</x:v>
      </x:c>
      <x:c r="B14" s="43" t="str">
        <x:v>H1_CERTIFIED</x:v>
      </x:c>
      <x:c r="C14" s="43" t="str">
        <x:v>BASE</x:v>
      </x:c>
      <x:c r="D14" s="43" t="str">
        <x:v>RMB_MILLION</x:v>
      </x:c>
      <x:c r="E14" s="43" t="n">
        <x:v>155618.201</x:v>
      </x:c>
      <x:c r="F14" s="43" t="n">
        <x:v>2025</x:v>
      </x:c>
      <x:c r="G14" s="39"/>
      <x:c r="H14" s="39"/>
    </x:row>
    <x:row r="15">
      <x:c r="A15" s="43" t="str">
        <x:v>BS_CURRENT_PORTION_NONCURRENT_ASSETS_FINANCE</x:v>
      </x:c>
      <x:c r="B15" s="43" t="str">
        <x:v>H1_CERTIFIED</x:v>
      </x:c>
      <x:c r="C15" s="43" t="str">
        <x:v>BASE</x:v>
      </x:c>
      <x:c r="D15" s="43" t="str">
        <x:v>RMB_MILLION</x:v>
      </x:c>
      <x:c r="E15" s="43" t="n">
        <x:v>255.673</x:v>
      </x:c>
      <x:c r="F15" s="43" t="n">
        <x:v>2025</x:v>
      </x:c>
      <x:c r="G15" s="39"/>
      <x:c r="H15" s="39"/>
    </x:row>
    <x:row r="16">
      <x:c r="A16" s="43" t="str">
        <x:v>BS_CURRENT_PORTION_NONCURRENT_ASSETS_TREASURY</x:v>
      </x:c>
      <x:c r="B16" s="43" t="str">
        <x:v>H1_CERTIFIED</x:v>
      </x:c>
      <x:c r="C16" s="43" t="str">
        <x:v>BASE</x:v>
      </x:c>
      <x:c r="D16" s="43" t="str">
        <x:v>RMB_MILLION</x:v>
      </x:c>
      <x:c r="E16" s="43" t="n">
        <x:v>155362.528</x:v>
      </x:c>
      <x:c r="F16" s="43" t="n">
        <x:v>2025</x:v>
      </x:c>
      <x:c r="G16" s="39"/>
      <x:c r="H16" s="39"/>
    </x:row>
    <x:row r="17">
      <x:c r="A17" s="43" t="str">
        <x:v>BS_CUSTOMER_DEPOSITS</x:v>
      </x:c>
      <x:c r="B17" s="43" t="str">
        <x:v>H1_CERTIFIED</x:v>
      </x:c>
      <x:c r="C17" s="43" t="str">
        <x:v>BASE</x:v>
      </x:c>
      <x:c r="D17" s="43" t="str">
        <x:v>RMB_MILLION</x:v>
      </x:c>
      <x:c r="E17" s="43" t="n">
        <x:v>134.11</x:v>
      </x:c>
      <x:c r="F17" s="43" t="n">
        <x:v>2025</x:v>
      </x:c>
      <x:c r="G17" s="39"/>
      <x:c r="H17" s="39"/>
    </x:row>
    <x:row r="18">
      <x:c r="A18" s="43" t="str">
        <x:v>BS_DERIVATIVE_FINANCIAL_ASSETS</x:v>
      </x:c>
      <x:c r="B18" s="43" t="str">
        <x:v>H1_CERTIFIED</x:v>
      </x:c>
      <x:c r="C18" s="43" t="str">
        <x:v>BASE</x:v>
      </x:c>
      <x:c r="D18" s="43" t="str">
        <x:v>RMB_MILLION</x:v>
      </x:c>
      <x:c r="E18" s="43" t="n">
        <x:v>2223.159</x:v>
      </x:c>
      <x:c r="F18" s="43" t="n">
        <x:v>2025</x:v>
      </x:c>
      <x:c r="G18" s="39"/>
      <x:c r="H18" s="39"/>
    </x:row>
    <x:row r="19">
      <x:c r="A19" s="43" t="str">
        <x:v>BS_DERIVATIVE_LIABILITIES</x:v>
      </x:c>
      <x:c r="B19" s="43" t="str">
        <x:v>H1_CERTIFIED</x:v>
      </x:c>
      <x:c r="C19" s="43" t="str">
        <x:v>BASE</x:v>
      </x:c>
      <x:c r="D19" s="43" t="str">
        <x:v>RMB_MILLION</x:v>
      </x:c>
      <x:c r="E19" s="43" t="n">
        <x:v>850.959</x:v>
      </x:c>
      <x:c r="F19" s="43" t="n">
        <x:v>2025</x:v>
      </x:c>
      <x:c r="G19" s="39"/>
      <x:c r="H19" s="39"/>
    </x:row>
    <x:row r="20">
      <x:c r="A20" s="43" t="str">
        <x:v>BS_EMPLOYEE_COMP</x:v>
      </x:c>
      <x:c r="B20" s="43" t="str">
        <x:v>H1_CERTIFIED</x:v>
      </x:c>
      <x:c r="C20" s="43" t="str">
        <x:v>BASE</x:v>
      </x:c>
      <x:c r="D20" s="43" t="str">
        <x:v>RMB_MILLION</x:v>
      </x:c>
      <x:c r="E20" s="43" t="n">
        <x:v>9645.445</x:v>
      </x:c>
      <x:c r="F20" s="43" t="n">
        <x:v>2025</x:v>
      </x:c>
      <x:c r="G20" s="39"/>
      <x:c r="H20" s="39"/>
    </x:row>
    <x:row r="21">
      <x:c r="A21" s="43" t="str">
        <x:v>BS_GOODWILL</x:v>
      </x:c>
      <x:c r="B21" s="43" t="str">
        <x:v>H1_CERTIFIED</x:v>
      </x:c>
      <x:c r="C21" s="43" t="str">
        <x:v>BASE</x:v>
      </x:c>
      <x:c r="D21" s="43" t="str">
        <x:v>RMB_MILLION</x:v>
      </x:c>
      <x:c r="E21" s="43" t="n">
        <x:v>34256.859</x:v>
      </x:c>
      <x:c r="F21" s="43" t="n">
        <x:v>2025</x:v>
      </x:c>
      <x:c r="G21" s="39"/>
      <x:c r="H21" s="39"/>
    </x:row>
    <x:row r="22">
      <x:c r="A22" s="43" t="str">
        <x:v>BS_INCOME_TAX_PAYABLE</x:v>
      </x:c>
      <x:c r="B22" s="43" t="str">
        <x:v>H1_CERTIFIED</x:v>
      </x:c>
      <x:c r="C22" s="43" t="str">
        <x:v>BASE</x:v>
      </x:c>
      <x:c r="D22" s="43" t="str">
        <x:v>RMB_MILLION</x:v>
      </x:c>
      <x:c r="E22" s="43" t="n">
        <x:v>4485.221</x:v>
      </x:c>
      <x:c r="F22" s="43" t="n">
        <x:v>2025</x:v>
      </x:c>
      <x:c r="G22" s="39"/>
      <x:c r="H22" s="39"/>
    </x:row>
    <x:row r="23">
      <x:c r="A23" s="43" t="str">
        <x:v>BS_INTANGIBLES</x:v>
      </x:c>
      <x:c r="B23" s="43" t="str">
        <x:v>H1_CERTIFIED</x:v>
      </x:c>
      <x:c r="C23" s="43" t="str">
        <x:v>BASE</x:v>
      </x:c>
      <x:c r="D23" s="43" t="str">
        <x:v>RMB_MILLION</x:v>
      </x:c>
      <x:c r="E23" s="43" t="n">
        <x:v>21618.86</x:v>
      </x:c>
      <x:c r="F23" s="43" t="n">
        <x:v>2025</x:v>
      </x:c>
      <x:c r="G23" s="39"/>
      <x:c r="H23" s="39"/>
    </x:row>
    <x:row r="24">
      <x:c r="A24" s="43" t="str">
        <x:v>BS_INVENTORY</x:v>
      </x:c>
      <x:c r="B24" s="43" t="str">
        <x:v>H1_CERTIFIED</x:v>
      </x:c>
      <x:c r="C24" s="43" t="str">
        <x:v>BASE</x:v>
      </x:c>
      <x:c r="D24" s="43" t="str">
        <x:v>RMB_MILLION</x:v>
      </x:c>
      <x:c r="E24" s="43" t="n">
        <x:v>64628.834</x:v>
      </x:c>
      <x:c r="F24" s="43" t="n">
        <x:v>2025</x:v>
      </x:c>
      <x:c r="G24" s="39"/>
      <x:c r="H24" s="39"/>
    </x:row>
    <x:row r="25">
      <x:c r="A25" s="43" t="str">
        <x:v>BS_LOANS_ADVANCES_CURRENT</x:v>
      </x:c>
      <x:c r="B25" s="43" t="str">
        <x:v>H1_CERTIFIED</x:v>
      </x:c>
      <x:c r="C25" s="43" t="str">
        <x:v>BASE</x:v>
      </x:c>
      <x:c r="D25" s="43" t="str">
        <x:v>RMB_MILLION</x:v>
      </x:c>
      <x:c r="E25" s="43" t="n">
        <x:v>11779.217</x:v>
      </x:c>
      <x:c r="F25" s="43" t="n">
        <x:v>2025</x:v>
      </x:c>
      <x:c r="G25" s="39"/>
      <x:c r="H25" s="39"/>
    </x:row>
    <x:row r="26">
      <x:c r="A26" s="43" t="str">
        <x:v>BS_LONG_TERM_BORROWINGS</x:v>
      </x:c>
      <x:c r="B26" s="43" t="str">
        <x:v>H1_CERTIFIED</x:v>
      </x:c>
      <x:c r="C26" s="43" t="str">
        <x:v>BASE</x:v>
      </x:c>
      <x:c r="D26" s="43" t="str">
        <x:v>RMB_MILLION</x:v>
      </x:c>
      <x:c r="E26" s="43" t="n">
        <x:v>12658.843</x:v>
      </x:c>
      <x:c r="F26" s="43" t="n">
        <x:v>2025</x:v>
      </x:c>
      <x:c r="G26" s="39"/>
      <x:c r="H26" s="39"/>
    </x:row>
    <x:row r="27">
      <x:c r="A27" s="43" t="str">
        <x:v>BS_LONG_TERM_INVESTMENTS</x:v>
      </x:c>
      <x:c r="B27" s="43" t="str">
        <x:v>H1_CERTIFIED</x:v>
      </x:c>
      <x:c r="C27" s="43" t="str">
        <x:v>BASE</x:v>
      </x:c>
      <x:c r="D27" s="43" t="str">
        <x:v>RMB_MILLION</x:v>
      </x:c>
      <x:c r="E27" s="43" t="n">
        <x:v>4775.044</x:v>
      </x:c>
      <x:c r="F27" s="43" t="n">
        <x:v>2025</x:v>
      </x:c>
      <x:c r="G27" s="39"/>
      <x:c r="H27" s="39"/>
    </x:row>
    <x:row r="28">
      <x:c r="A28" s="43" t="str">
        <x:v>BS_NCI</x:v>
      </x:c>
      <x:c r="B28" s="43" t="str">
        <x:v>H1_CERTIFIED</x:v>
      </x:c>
      <x:c r="C28" s="43" t="str">
        <x:v>BASE</x:v>
      </x:c>
      <x:c r="D28" s="43" t="str">
        <x:v>RMB_MILLION</x:v>
      </x:c>
      <x:c r="E28" s="43" t="n">
        <x:v>13202.918</x:v>
      </x:c>
      <x:c r="F28" s="43" t="n">
        <x:v>2025</x:v>
      </x:c>
      <x:c r="G28" s="39"/>
      <x:c r="H28" s="39"/>
    </x:row>
    <x:row r="29">
      <x:c r="A29" s="43" t="str">
        <x:v>BS_NOTES_PAYABLE</x:v>
      </x:c>
      <x:c r="B29" s="43" t="str">
        <x:v>H1_CERTIFIED</x:v>
      </x:c>
      <x:c r="C29" s="43" t="str">
        <x:v>BASE</x:v>
      </x:c>
      <x:c r="D29" s="43" t="str">
        <x:v>RMB_MILLION</x:v>
      </x:c>
      <x:c r="E29" s="43" t="n">
        <x:v>27121.881</x:v>
      </x:c>
      <x:c r="F29" s="43" t="n">
        <x:v>2025</x:v>
      </x:c>
      <x:c r="G29" s="39"/>
      <x:c r="H29" s="39"/>
    </x:row>
    <x:row r="30">
      <x:c r="A30" s="43" t="str">
        <x:v>BS_NOTES_RECEIVABLE</x:v>
      </x:c>
      <x:c r="B30" s="43" t="str">
        <x:v>H1_CERTIFIED</x:v>
      </x:c>
      <x:c r="C30" s="43" t="str">
        <x:v>BASE</x:v>
      </x:c>
      <x:c r="D30" s="43" t="str">
        <x:v>RMB_MILLION</x:v>
      </x:c>
      <x:c r="E30" s="43" t="n">
        <x:v>5246.763</x:v>
      </x:c>
      <x:c r="F30" s="43" t="n">
        <x:v>2025</x:v>
      </x:c>
      <x:c r="G30" s="39"/>
      <x:c r="H30" s="39"/>
    </x:row>
    <x:row r="31">
      <x:c r="A31" s="43" t="str">
        <x:v>BS_OTHER_CURRENT_ASSETS</x:v>
      </x:c>
      <x:c r="B31" s="43" t="str">
        <x:v>H1_CERTIFIED</x:v>
      </x:c>
      <x:c r="C31" s="43" t="str">
        <x:v>BASE</x:v>
      </x:c>
      <x:c r="D31" s="43" t="str">
        <x:v>RMB_MILLION</x:v>
      </x:c>
      <x:c r="E31" s="43" t="n">
        <x:v>25376.475</x:v>
      </x:c>
      <x:c r="F31" s="43" t="n">
        <x:v>2025</x:v>
      </x:c>
      <x:c r="G31" s="39"/>
      <x:c r="H31" s="39"/>
    </x:row>
    <x:row r="32">
      <x:c r="A32" s="43" t="str">
        <x:v>BS_OTHER_CURRENT_ASSETS_HEDGE</x:v>
      </x:c>
      <x:c r="B32" s="43" t="str">
        <x:v>H1_CERTIFIED</x:v>
      </x:c>
      <x:c r="C32" s="43" t="str">
        <x:v>BASE</x:v>
      </x:c>
      <x:c r="D32" s="43" t="str">
        <x:v>RMB_MILLION</x:v>
      </x:c>
      <x:c r="E32" s="43" t="n">
        <x:v>3201.395</x:v>
      </x:c>
      <x:c r="F32" s="43" t="n">
        <x:v>2025</x:v>
      </x:c>
      <x:c r="G32" s="39"/>
      <x:c r="H32" s="39"/>
    </x:row>
    <x:row r="33">
      <x:c r="A33" s="43" t="str">
        <x:v>BS_OTHER_CURRENT_ASSETS_OPERATING</x:v>
      </x:c>
      <x:c r="B33" s="43" t="str">
        <x:v>H1_CERTIFIED</x:v>
      </x:c>
      <x:c r="C33" s="43" t="str">
        <x:v>BASE</x:v>
      </x:c>
      <x:c r="D33" s="43" t="str">
        <x:v>RMB_MILLION</x:v>
      </x:c>
      <x:c r="E33" s="43" t="n">
        <x:v>20747.946</x:v>
      </x:c>
      <x:c r="F33" s="43" t="n">
        <x:v>2025</x:v>
      </x:c>
      <x:c r="G33" s="39"/>
      <x:c r="H33" s="39"/>
    </x:row>
    <x:row r="34">
      <x:c r="A34" s="43" t="str">
        <x:v>BS_OTHER_CURRENT_ASSETS_TREASURY</x:v>
      </x:c>
      <x:c r="B34" s="43" t="str">
        <x:v>H1_CERTIFIED</x:v>
      </x:c>
      <x:c r="C34" s="43" t="str">
        <x:v>BASE</x:v>
      </x:c>
      <x:c r="D34" s="43" t="str">
        <x:v>RMB_MILLION</x:v>
      </x:c>
      <x:c r="E34" s="43" t="n">
        <x:v>1427.134</x:v>
      </x:c>
      <x:c r="F34" s="43" t="n">
        <x:v>2025</x:v>
      </x:c>
      <x:c r="G34" s="39"/>
      <x:c r="H34" s="39"/>
    </x:row>
    <x:row r="35">
      <x:c r="A35" s="43" t="str">
        <x:v>BS_OTHER_CURRENT_LIABILITIES</x:v>
      </x:c>
      <x:c r="B35" s="43" t="str">
        <x:v>H1_CERTIFIED</x:v>
      </x:c>
      <x:c r="C35" s="43" t="str">
        <x:v>BASE</x:v>
      </x:c>
      <x:c r="D35" s="43" t="str">
        <x:v>RMB_MILLION</x:v>
      </x:c>
      <x:c r="E35" s="43" t="n">
        <x:v>92537.419</x:v>
      </x:c>
      <x:c r="F35" s="43" t="n">
        <x:v>2025</x:v>
      </x:c>
      <x:c r="G35" s="39"/>
      <x:c r="H35" s="39"/>
    </x:row>
    <x:row r="36">
      <x:c r="A36" s="43" t="str">
        <x:v>BS_OTHER_CURRENT_LIABILITIES_HEDGE</x:v>
      </x:c>
      <x:c r="B36" s="43" t="str">
        <x:v>H1_CERTIFIED</x:v>
      </x:c>
      <x:c r="C36" s="43" t="str">
        <x:v>BASE</x:v>
      </x:c>
      <x:c r="D36" s="43" t="str">
        <x:v>RMB_MILLION</x:v>
      </x:c>
      <x:c r="E36" s="43" t="n">
        <x:v>21.48</x:v>
      </x:c>
      <x:c r="F36" s="43" t="n">
        <x:v>2025</x:v>
      </x:c>
      <x:c r="G36" s="39"/>
      <x:c r="H36" s="39"/>
    </x:row>
    <x:row r="37">
      <x:c r="A37" s="43" t="str">
        <x:v>BS_OTHER_CURRENT_LIABILITIES_OPERATING</x:v>
      </x:c>
      <x:c r="B37" s="43" t="str">
        <x:v>H1_CERTIFIED</x:v>
      </x:c>
      <x:c r="C37" s="43" t="str">
        <x:v>BASE</x:v>
      </x:c>
      <x:c r="D37" s="43" t="str">
        <x:v>RMB_MILLION</x:v>
      </x:c>
      <x:c r="E37" s="43" t="n">
        <x:v>92515.939</x:v>
      </x:c>
      <x:c r="F37" s="43" t="n">
        <x:v>2025</x:v>
      </x:c>
      <x:c r="G37" s="39"/>
      <x:c r="H37" s="39"/>
    </x:row>
    <x:row r="38">
      <x:c r="A38" s="43" t="str">
        <x:v>BS_OTHER_NONCURRENT_FINANCIAL_ASSETS</x:v>
      </x:c>
      <x:c r="B38" s="43" t="str">
        <x:v>H1_CERTIFIED</x:v>
      </x:c>
      <x:c r="C38" s="43" t="str">
        <x:v>BASE</x:v>
      </x:c>
      <x:c r="D38" s="43" t="str">
        <x:v>RMB_MILLION</x:v>
      </x:c>
      <x:c r="E38" s="43" t="n">
        <x:v>4786.089</x:v>
      </x:c>
      <x:c r="F38" s="43" t="n">
        <x:v>2025</x:v>
      </x:c>
      <x:c r="G38" s="39"/>
      <x:c r="H38" s="39"/>
    </x:row>
    <x:row r="39">
      <x:c r="A39" s="43" t="str">
        <x:v>BS_OTHER_PAYABLES</x:v>
      </x:c>
      <x:c r="B39" s="43" t="str">
        <x:v>H1_CERTIFIED</x:v>
      </x:c>
      <x:c r="C39" s="43" t="str">
        <x:v>BASE</x:v>
      </x:c>
      <x:c r="D39" s="43" t="str">
        <x:v>RMB_MILLION</x:v>
      </x:c>
      <x:c r="E39" s="43" t="n">
        <x:v>4823.476</x:v>
      </x:c>
      <x:c r="F39" s="43" t="n">
        <x:v>2025</x:v>
      </x:c>
      <x:c r="G39" s="39"/>
      <x:c r="H39" s="39"/>
    </x:row>
    <x:row r="40">
      <x:c r="A40" s="43" t="str">
        <x:v>BS_OTHER_RECEIVABLES</x:v>
      </x:c>
      <x:c r="B40" s="43" t="str">
        <x:v>H1_CERTIFIED</x:v>
      </x:c>
      <x:c r="C40" s="43" t="str">
        <x:v>BASE</x:v>
      </x:c>
      <x:c r="D40" s="43" t="str">
        <x:v>RMB_MILLION</x:v>
      </x:c>
      <x:c r="E40" s="43" t="n">
        <x:v>3190.591</x:v>
      </x:c>
      <x:c r="F40" s="43" t="n">
        <x:v>2025</x:v>
      </x:c>
      <x:c r="G40" s="39"/>
      <x:c r="H40" s="39"/>
    </x:row>
    <x:row r="41">
      <x:c r="A41" s="43" t="str">
        <x:v>BS_OTHER_RESERVES</x:v>
      </x:c>
      <x:c r="B41" s="43" t="str">
        <x:v>H1_CERTIFIED</x:v>
      </x:c>
      <x:c r="C41" s="43" t="str">
        <x:v>BASE</x:v>
      </x:c>
      <x:c r="D41" s="43" t="str">
        <x:v>RMB_MILLION</x:v>
      </x:c>
      <x:c r="E41" s="43" t="n">
        <x:v>11196.537</x:v>
      </x:c>
      <x:c r="F41" s="43" t="n">
        <x:v>2025</x:v>
      </x:c>
      <x:c r="G41" s="39"/>
      <x:c r="H41" s="39"/>
    </x:row>
    <x:row r="42">
      <x:c r="A42" s="43" t="str">
        <x:v>BS_OTHER_TAXES_PAYABLE</x:v>
      </x:c>
      <x:c r="B42" s="43" t="str">
        <x:v>H1_CERTIFIED</x:v>
      </x:c>
      <x:c r="C42" s="43" t="str">
        <x:v>BASE</x:v>
      </x:c>
      <x:c r="D42" s="43" t="str">
        <x:v>RMB_MILLION</x:v>
      </x:c>
      <x:c r="E42" s="43" t="n">
        <x:v>2678.872</x:v>
      </x:c>
      <x:c r="F42" s="43" t="n">
        <x:v>2025</x:v>
      </x:c>
      <x:c r="G42" s="39"/>
      <x:c r="H42" s="39"/>
    </x:row>
    <x:row r="43">
      <x:c r="A43" s="43" t="str">
        <x:v>BS_PARENT_EQUITY</x:v>
      </x:c>
      <x:c r="B43" s="43" t="str">
        <x:v>H1_CERTIFIED</x:v>
      </x:c>
      <x:c r="C43" s="43" t="str">
        <x:v>BASE</x:v>
      </x:c>
      <x:c r="D43" s="43" t="str">
        <x:v>RMB_MILLION</x:v>
      </x:c>
      <x:c r="E43" s="43" t="n">
        <x:v>223221.305</x:v>
      </x:c>
      <x:c r="F43" s="43" t="n">
        <x:v>2025</x:v>
      </x:c>
      <x:c r="G43" s="39"/>
      <x:c r="H43" s="39"/>
    </x:row>
    <x:row r="44">
      <x:c r="A44" s="43" t="str">
        <x:v>BS_PPE</x:v>
      </x:c>
      <x:c r="B44" s="43" t="str">
        <x:v>H1_CERTIFIED</x:v>
      </x:c>
      <x:c r="C44" s="43" t="str">
        <x:v>BASE</x:v>
      </x:c>
      <x:c r="D44" s="43" t="str">
        <x:v>RMB_MILLION</x:v>
      </x:c>
      <x:c r="E44" s="43" t="n">
        <x:v>44983.394</x:v>
      </x:c>
      <x:c r="F44" s="43" t="n">
        <x:v>2025</x:v>
      </x:c>
      <x:c r="G44" s="39"/>
      <x:c r="H44" s="39"/>
    </x:row>
    <x:row r="45">
      <x:c r="A45" s="43" t="str">
        <x:v>BS_PREPAYMENTS</x:v>
      </x:c>
      <x:c r="B45" s="43" t="str">
        <x:v>H1_CERTIFIED</x:v>
      </x:c>
      <x:c r="C45" s="43" t="str">
        <x:v>BASE</x:v>
      </x:c>
      <x:c r="D45" s="43" t="str">
        <x:v>RMB_MILLION</x:v>
      </x:c>
      <x:c r="E45" s="43" t="n">
        <x:v>2987.292</x:v>
      </x:c>
      <x:c r="F45" s="43" t="n">
        <x:v>2025</x:v>
      </x:c>
      <x:c r="G45" s="39"/>
      <x:c r="H45" s="39"/>
    </x:row>
    <x:row r="46">
      <x:c r="A46" s="43" t="str">
        <x:v>BS_RECEIVABLES_FINANCING</x:v>
      </x:c>
      <x:c r="B46" s="43" t="str">
        <x:v>H1_CERTIFIED</x:v>
      </x:c>
      <x:c r="C46" s="43" t="str">
        <x:v>BASE</x:v>
      </x:c>
      <x:c r="D46" s="43" t="str">
        <x:v>RMB_MILLION</x:v>
      </x:c>
      <x:c r="E46" s="43" t="n">
        <x:v>14935.344</x:v>
      </x:c>
      <x:c r="F46" s="43" t="n">
        <x:v>2025</x:v>
      </x:c>
      <x:c r="G46" s="39"/>
      <x:c r="H46" s="39"/>
    </x:row>
    <x:row r="47">
      <x:c r="A47" s="43" t="str">
        <x:v>BS_RESTRICTED_CASH</x:v>
      </x:c>
      <x:c r="B47" s="43" t="str">
        <x:v>H1_CERTIFIED</x:v>
      </x:c>
      <x:c r="C47" s="43" t="str">
        <x:v>BASE</x:v>
      </x:c>
      <x:c r="D47" s="43" t="str">
        <x:v>RMB_MILLION</x:v>
      </x:c>
      <x:c r="E47" s="43" t="n">
        <x:v>4715.545</x:v>
      </x:c>
      <x:c r="F47" s="43" t="n">
        <x:v>2025</x:v>
      </x:c>
      <x:c r="G47" s="39"/>
      <x:c r="H47" s="39"/>
    </x:row>
    <x:row r="48">
      <x:c r="A48" s="43" t="str">
        <x:v>BS_RETAINED_EARNINGS</x:v>
      </x:c>
      <x:c r="B48" s="43" t="str">
        <x:v>H1_CERTIFIED</x:v>
      </x:c>
      <x:c r="C48" s="43" t="str">
        <x:v>BASE</x:v>
      </x:c>
      <x:c r="D48" s="43" t="str">
        <x:v>RMB_MILLION</x:v>
      </x:c>
      <x:c r="E48" s="43" t="n">
        <x:v>167228.02</x:v>
      </x:c>
      <x:c r="F48" s="43" t="n">
        <x:v>2025</x:v>
      </x:c>
      <x:c r="G48" s="39"/>
      <x:c r="H48" s="39"/>
    </x:row>
    <x:row r="49">
      <x:c r="A49" s="43" t="str">
        <x:v>BS_SHARE_CAPITAL</x:v>
      </x:c>
      <x:c r="B49" s="43" t="str">
        <x:v>H1_CERTIFIED</x:v>
      </x:c>
      <x:c r="C49" s="43" t="str">
        <x:v>BASE</x:v>
      </x:c>
      <x:c r="D49" s="43" t="str">
        <x:v>RMB_MILLION</x:v>
      </x:c>
      <x:c r="E49" s="43" t="n">
        <x:v>7597.145</x:v>
      </x:c>
      <x:c r="F49" s="43" t="n">
        <x:v>2025</x:v>
      </x:c>
      <x:c r="G49" s="39"/>
      <x:c r="H49" s="39"/>
    </x:row>
    <x:row r="50">
      <x:c r="A50" s="43" t="str">
        <x:v>BS_SHORT_TERM_BORROWING</x:v>
      </x:c>
      <x:c r="B50" s="43" t="str">
        <x:v>H1_CERTIFIED</x:v>
      </x:c>
      <x:c r="C50" s="43" t="str">
        <x:v>BASE</x:v>
      </x:c>
      <x:c r="D50" s="43" t="str">
        <x:v>RMB_MILLION</x:v>
      </x:c>
      <x:c r="E50" s="43" t="n">
        <x:v>43904.55</x:v>
      </x:c>
      <x:c r="F50" s="43" t="n">
        <x:v>2025</x:v>
      </x:c>
      <x:c r="G50" s="39"/>
      <x:c r="H50" s="39"/>
    </x:row>
    <x:row r="51">
      <x:c r="A51" s="43" t="str">
        <x:v>BS_TAXES_PAYABLE</x:v>
      </x:c>
      <x:c r="B51" s="43" t="str">
        <x:v>H1_CERTIFIED</x:v>
      </x:c>
      <x:c r="C51" s="43" t="str">
        <x:v>BASE</x:v>
      </x:c>
      <x:c r="D51" s="43" t="str">
        <x:v>RMB_MILLION</x:v>
      </x:c>
      <x:c r="E51" s="43" t="n">
        <x:v>7164.093</x:v>
      </x:c>
      <x:c r="F51" s="43" t="n">
        <x:v>2025</x:v>
      </x:c>
      <x:c r="G51" s="39"/>
      <x:c r="H51" s="39"/>
    </x:row>
    <x:row r="52">
      <x:c r="A52" s="43" t="str">
        <x:v>BS_TERM_DEPOSITS</x:v>
      </x:c>
      <x:c r="B52" s="43" t="str">
        <x:v>H1_CERTIFIED</x:v>
      </x:c>
      <x:c r="C52" s="43" t="str">
        <x:v>BASE</x:v>
      </x:c>
      <x:c r="D52" s="43" t="str">
        <x:v>RMB_MILLION</x:v>
      </x:c>
      <x:c r="E52" s="43" t="n">
        <x:v>11942.612</x:v>
      </x:c>
      <x:c r="F52" s="43" t="n">
        <x:v>2025</x:v>
      </x:c>
      <x:c r="G52" s="39"/>
      <x:c r="H52" s="39"/>
    </x:row>
    <x:row r="53">
      <x:c r="A53" s="43" t="str">
        <x:v>BS_TOTAL_ASSETS</x:v>
      </x:c>
      <x:c r="B53" s="43" t="str">
        <x:v>H1_CERTIFIED</x:v>
      </x:c>
      <x:c r="C53" s="43" t="str">
        <x:v>BASE</x:v>
      </x:c>
      <x:c r="D53" s="43" t="str">
        <x:v>RMB_MILLION</x:v>
      </x:c>
      <x:c r="E53" s="43" t="n">
        <x:v>608791.766</x:v>
      </x:c>
      <x:c r="F53" s="43" t="n">
        <x:v>2025</x:v>
      </x:c>
      <x:c r="G53" s="39"/>
      <x:c r="H53" s="39"/>
    </x:row>
    <x:row r="54">
      <x:c r="A54" s="43" t="str">
        <x:v>BS_TOTAL_CURRENT_ASSETS</x:v>
      </x:c>
      <x:c r="B54" s="43" t="str">
        <x:v>H1_CERTIFIED</x:v>
      </x:c>
      <x:c r="C54" s="43" t="str">
        <x:v>BASE</x:v>
      </x:c>
      <x:c r="D54" s="43" t="str">
        <x:v>RMB_MILLION</x:v>
      </x:c>
      <x:c r="E54" s="43" t="n">
        <x:v>416662.341</x:v>
      </x:c>
      <x:c r="F54" s="43" t="n">
        <x:v>2025</x:v>
      </x:c>
      <x:c r="G54" s="39"/>
      <x:c r="H54" s="39"/>
    </x:row>
    <x:row r="55">
      <x:c r="A55" s="43" t="str">
        <x:v>BS_TOTAL_CURRENT_ASSETS_OTHER_IMMATERIAL_COMPONENTS</x:v>
      </x:c>
      <x:c r="B55" s="43" t="str">
        <x:v>H1_CERTIFIED</x:v>
      </x:c>
      <x:c r="C55" s="43" t="str">
        <x:v>BASE</x:v>
      </x:c>
      <x:c r="D55" s="43" t="str">
        <x:v>RMB_MILLION</x:v>
      </x:c>
      <x:c r="E55" s="43" t="n">
        <x:v>0</x:v>
      </x:c>
      <x:c r="F55" s="43" t="n">
        <x:v>2025</x:v>
      </x:c>
      <x:c r="G55" s="39"/>
      <x:c r="H55" s="39"/>
    </x:row>
    <x:row r="56">
      <x:c r="A56" s="43" t="str">
        <x:v>BS_TOTAL_CURRENT_LIABILITIES</x:v>
      </x:c>
      <x:c r="B56" s="43" t="str">
        <x:v>H1_CERTIFIED</x:v>
      </x:c>
      <x:c r="C56" s="43" t="str">
        <x:v>BASE</x:v>
      </x:c>
      <x:c r="D56" s="43" t="str">
        <x:v>RMB_MILLION</x:v>
      </x:c>
      <x:c r="E56" s="43" t="n">
        <x:v>343383.7</x:v>
      </x:c>
      <x:c r="F56" s="43" t="n">
        <x:v>2025</x:v>
      </x:c>
      <x:c r="G56" s="39"/>
      <x:c r="H56" s="39"/>
    </x:row>
    <x:row r="57">
      <x:c r="A57" s="43" t="str">
        <x:v>BS_TOTAL_CURRENT_LIABILITIES_OTHER_IMMATERIAL_COMPONENTS</x:v>
      </x:c>
      <x:c r="B57" s="43" t="str">
        <x:v>H1_CERTIFIED</x:v>
      </x:c>
      <x:c r="C57" s="43" t="str">
        <x:v>BASE</x:v>
      </x:c>
      <x:c r="D57" s="43" t="str">
        <x:v>RMB_MILLION</x:v>
      </x:c>
      <x:c r="E57" s="43" t="n">
        <x:v>0</x:v>
      </x:c>
      <x:c r="F57" s="43" t="n">
        <x:v>2025</x:v>
      </x:c>
      <x:c r="G57" s="39"/>
      <x:c r="H57" s="39"/>
    </x:row>
    <x:row r="58">
      <x:c r="A58" s="43" t="str">
        <x:v>BS_TOTAL_EQUITY</x:v>
      </x:c>
      <x:c r="B58" s="43" t="str">
        <x:v>H1_CERTIFIED</x:v>
      </x:c>
      <x:c r="C58" s="43" t="str">
        <x:v>BASE</x:v>
      </x:c>
      <x:c r="D58" s="43" t="str">
        <x:v>RMB_MILLION</x:v>
      </x:c>
      <x:c r="E58" s="43" t="n">
        <x:v>236424.223</x:v>
      </x:c>
      <x:c r="F58" s="43" t="n">
        <x:v>2025</x:v>
      </x:c>
      <x:c r="G58" s="39"/>
      <x:c r="H58" s="39"/>
    </x:row>
    <x:row r="59">
      <x:c r="A59" s="43" t="str">
        <x:v>BS_TOTAL_LIABILITIES</x:v>
      </x:c>
      <x:c r="B59" s="43" t="str">
        <x:v>H1_CERTIFIED</x:v>
      </x:c>
      <x:c r="C59" s="43" t="str">
        <x:v>BASE</x:v>
      </x:c>
      <x:c r="D59" s="43" t="str">
        <x:v>RMB_MILLION</x:v>
      </x:c>
      <x:c r="E59" s="43" t="n">
        <x:v>372367.543</x:v>
      </x:c>
      <x:c r="F59" s="43" t="n">
        <x:v>2025</x:v>
      </x:c>
      <x:c r="G59" s="39"/>
      <x:c r="H59" s="39"/>
    </x:row>
    <x:row r="60">
      <x:c r="A60" s="43" t="str">
        <x:v>BS_TOTAL_NONCURRENT_ASSETS</x:v>
      </x:c>
      <x:c r="B60" s="43" t="str">
        <x:v>H1_CERTIFIED</x:v>
      </x:c>
      <x:c r="C60" s="43" t="str">
        <x:v>BASE</x:v>
      </x:c>
      <x:c r="D60" s="43" t="str">
        <x:v>RMB_MILLION</x:v>
      </x:c>
      <x:c r="E60" s="43" t="n">
        <x:v>192129.425</x:v>
      </x:c>
      <x:c r="F60" s="43" t="n">
        <x:v>2025</x:v>
      </x:c>
      <x:c r="G60" s="39"/>
      <x:c r="H60" s="39"/>
    </x:row>
    <x:row r="61">
      <x:c r="A61" s="43" t="str">
        <x:v>BS_TOTAL_NONCURRENT_ASSETS_OTHER_IMMATERIAL_COMPONENTS</x:v>
      </x:c>
      <x:c r="B61" s="43" t="str">
        <x:v>H1_CERTIFIED</x:v>
      </x:c>
      <x:c r="C61" s="43" t="str">
        <x:v>BASE</x:v>
      </x:c>
      <x:c r="D61" s="43" t="str">
        <x:v>RMB_MILLION</x:v>
      </x:c>
      <x:c r="E61" s="43" t="n">
        <x:v>78654.351</x:v>
      </x:c>
      <x:c r="F61" s="43" t="n">
        <x:v>2025</x:v>
      </x:c>
      <x:c r="G61" s="39"/>
      <x:c r="H61" s="39"/>
    </x:row>
    <x:row r="62">
      <x:c r="A62" s="43" t="str">
        <x:v>BS_TOTAL_NONCURRENT_LIABILITIES</x:v>
      </x:c>
      <x:c r="B62" s="43" t="str">
        <x:v>H1_CERTIFIED</x:v>
      </x:c>
      <x:c r="C62" s="43" t="str">
        <x:v>BASE</x:v>
      </x:c>
      <x:c r="D62" s="43" t="str">
        <x:v>RMB_MILLION</x:v>
      </x:c>
      <x:c r="E62" s="43" t="n">
        <x:v>28983.843</x:v>
      </x:c>
      <x:c r="F62" s="43" t="n">
        <x:v>2025</x:v>
      </x:c>
      <x:c r="G62" s="39"/>
      <x:c r="H62" s="39"/>
    </x:row>
    <x:row r="63">
      <x:c r="A63" s="43" t="str">
        <x:v>BS_TOTAL_NONCURRENT_LIABILITIES_OTHER_IMMATERIAL_COMPONENTS</x:v>
      </x:c>
      <x:c r="B63" s="43" t="str">
        <x:v>H1_CERTIFIED</x:v>
      </x:c>
      <x:c r="C63" s="43" t="str">
        <x:v>BASE</x:v>
      </x:c>
      <x:c r="D63" s="43" t="str">
        <x:v>RMB_MILLION</x:v>
      </x:c>
      <x:c r="E63" s="43" t="n">
        <x:v>16325</x:v>
      </x:c>
      <x:c r="F63" s="43" t="n">
        <x:v>2025</x:v>
      </x:c>
      <x:c r="G63" s="39"/>
      <x:c r="H63" s="39"/>
    </x:row>
    <x:row r="64">
      <x:c r="A64" s="43" t="str">
        <x:v>BS_TRADING_FINANCIAL_ASSETS</x:v>
      </x:c>
      <x:c r="B64" s="43" t="str">
        <x:v>H1_CERTIFIED</x:v>
      </x:c>
      <x:c r="C64" s="43" t="str">
        <x:v>BASE</x:v>
      </x:c>
      <x:c r="D64" s="43" t="str">
        <x:v>RMB_MILLION</x:v>
      </x:c>
      <x:c r="E64" s="43" t="n">
        <x:v>710.717</x:v>
      </x:c>
      <x:c r="F64" s="43" t="n">
        <x:v>2025</x:v>
      </x:c>
      <x:c r="G64" s="39"/>
      <x:c r="H64" s="39"/>
    </x:row>
    <x:row r="65">
      <x:c r="A65" s="43" t="str">
        <x:v>BS_TRADING_FINANCIAL_LIABILITIES</x:v>
      </x:c>
      <x:c r="B65" s="43" t="str">
        <x:v>H1_CERTIFIED</x:v>
      </x:c>
      <x:c r="C65" s="43" t="str">
        <x:v>BASE</x:v>
      </x:c>
      <x:c r="D65" s="43" t="str">
        <x:v>RMB_MILLION</x:v>
      </x:c>
      <x:c r="E65" s="43" t="n">
        <x:v>706.439</x:v>
      </x:c>
      <x:c r="F65" s="43" t="n">
        <x:v>2025</x:v>
      </x:c>
      <x:c r="G65" s="39"/>
      <x:c r="H65" s="39"/>
    </x:row>
    <x:row r="66">
      <x:c r="A66" s="43" t="str">
        <x:v>BS_TREASURY_SHARES</x:v>
      </x:c>
      <x:c r="B66" s="43" t="str">
        <x:v>H1_CERTIFIED</x:v>
      </x:c>
      <x:c r="C66" s="43" t="str">
        <x:v>BASE</x:v>
      </x:c>
      <x:c r="D66" s="43" t="str">
        <x:v>RMB_MILLION</x:v>
      </x:c>
      <x:c r="E66" s="43" t="n">
        <x:v>-8151.117</x:v>
      </x:c>
      <x:c r="F66" s="43" t="n">
        <x:v>2025</x:v>
      </x:c>
      <x:c r="G66" s="39"/>
      <x:c r="H66" s="39"/>
    </x:row>
    <x:row r="67">
      <x:c r="A67" s="43" t="str">
        <x:v>BS_AP</x:v>
      </x:c>
      <x:c r="B67" s="43" t="str">
        <x:v>H3B_ATTEMPT005</x:v>
      </x:c>
      <x:c r="C67" s="43" t="str">
        <x:v>BASE</x:v>
      </x:c>
      <x:c r="D67" s="43" t="str">
        <x:v>RMB_MILLION</x:v>
      </x:c>
      <x:c r="E67" s="43" t="n">
        <x:v>95037.68289111</x:v>
      </x:c>
      <x:c r="F67" s="43" t="n">
        <x:v>2026</x:v>
      </x:c>
      <x:c r="G67" s="39"/>
      <x:c r="H67" s="39"/>
    </x:row>
    <x:row r="68">
      <x:c r="A68" s="43" t="str">
        <x:v>BS_AR</x:v>
      </x:c>
      <x:c r="B68" s="43" t="str">
        <x:v>H3B_ATTEMPT005</x:v>
      </x:c>
      <x:c r="C68" s="43" t="str">
        <x:v>BASE</x:v>
      </x:c>
      <x:c r="D68" s="43" t="str">
        <x:v>RMB_MILLION</x:v>
      </x:c>
      <x:c r="E68" s="43" t="n">
        <x:v>44669.24780299</x:v>
      </x:c>
      <x:c r="F68" s="43" t="n">
        <x:v>2026</x:v>
      </x:c>
      <x:c r="G68" s="39"/>
      <x:c r="H68" s="39"/>
    </x:row>
    <x:row r="69">
      <x:c r="A69" s="43" t="str">
        <x:v>BS_CAPITAL_RESERVE</x:v>
      </x:c>
      <x:c r="B69" s="43" t="str">
        <x:v>H3B_ATTEMPT005</x:v>
      </x:c>
      <x:c r="C69" s="43" t="str">
        <x:v>BASE</x:v>
      </x:c>
      <x:c r="D69" s="43" t="str">
        <x:v>RMB_MILLION</x:v>
      </x:c>
      <x:c r="E69" s="43" t="n">
        <x:v>45350.72</x:v>
      </x:c>
      <x:c r="F69" s="43" t="n">
        <x:v>2026</x:v>
      </x:c>
      <x:c r="G69" s="39"/>
      <x:c r="H69" s="39"/>
    </x:row>
    <x:row r="70">
      <x:c r="A70" s="43" t="str">
        <x:v>BS_CASH</x:v>
      </x:c>
      <x:c r="B70" s="43" t="str">
        <x:v>H3B_ATTEMPT005</x:v>
      </x:c>
      <x:c r="C70" s="43" t="str">
        <x:v>BASE</x:v>
      </x:c>
      <x:c r="D70" s="43" t="str">
        <x:v>RMB_MILLION</x:v>
      </x:c>
      <x:c r="E70" s="43" t="n">
        <x:v>104103.12922431</x:v>
      </x:c>
      <x:c r="F70" s="43" t="n">
        <x:v>2026</x:v>
      </x:c>
      <x:c r="G70" s="39"/>
      <x:c r="H70" s="39"/>
    </x:row>
    <x:row r="71">
      <x:c r="A71" s="43" t="str">
        <x:v>BS_CASH_TAXONOMY_OTHER</x:v>
      </x:c>
      <x:c r="B71" s="43" t="str">
        <x:v>H3B_ATTEMPT005</x:v>
      </x:c>
      <x:c r="C71" s="43" t="str">
        <x:v>BASE</x:v>
      </x:c>
      <x:c r="D71" s="43" t="str">
        <x:v>RMB_MILLION</x:v>
      </x:c>
      <x:c r="E71" s="43" t="n">
        <x:v>85.52004986</x:v>
      </x:c>
      <x:c r="F71" s="43" t="n">
        <x:v>2026</x:v>
      </x:c>
      <x:c r="G71" s="39"/>
      <x:c r="H71" s="39"/>
    </x:row>
    <x:row r="72">
      <x:c r="A72" s="43" t="str">
        <x:v>BS_CIP</x:v>
      </x:c>
      <x:c r="B72" s="43" t="str">
        <x:v>H3B_ATTEMPT005</x:v>
      </x:c>
      <x:c r="C72" s="43" t="str">
        <x:v>BASE</x:v>
      </x:c>
      <x:c r="D72" s="43" t="str">
        <x:v>RMB_MILLION</x:v>
      </x:c>
      <x:c r="E72" s="43" t="n">
        <x:v>4393.58730251</x:v>
      </x:c>
      <x:c r="F72" s="43" t="n">
        <x:v>2026</x:v>
      </x:c>
      <x:c r="G72" s="39"/>
      <x:c r="H72" s="39"/>
    </x:row>
    <x:row r="73">
      <x:c r="A73" s="43" t="str">
        <x:v>BS_CONTRACT_ASSETS</x:v>
      </x:c>
      <x:c r="B73" s="43" t="str">
        <x:v>H3B_ATTEMPT005</x:v>
      </x:c>
      <x:c r="C73" s="43" t="str">
        <x:v>BASE</x:v>
      </x:c>
      <x:c r="D73" s="43" t="str">
        <x:v>RMB_MILLION</x:v>
      </x:c>
      <x:c r="E73" s="43" t="n">
        <x:v>4544.68107959</x:v>
      </x:c>
      <x:c r="F73" s="43" t="n">
        <x:v>2026</x:v>
      </x:c>
      <x:c r="G73" s="39"/>
      <x:c r="H73" s="39"/>
    </x:row>
    <x:row r="74">
      <x:c r="A74" s="43" t="str">
        <x:v>BS_CONTRACT_LIABILITIES</x:v>
      </x:c>
      <x:c r="B74" s="43" t="str">
        <x:v>H3B_ATTEMPT005</x:v>
      </x:c>
      <x:c r="C74" s="43" t="str">
        <x:v>BASE</x:v>
      </x:c>
      <x:c r="D74" s="43" t="str">
        <x:v>RMB_MILLION</x:v>
      </x:c>
      <x:c r="E74" s="43" t="n">
        <x:v>50033.59977049</x:v>
      </x:c>
      <x:c r="F74" s="43" t="n">
        <x:v>2026</x:v>
      </x:c>
      <x:c r="G74" s="39"/>
      <x:c r="H74" s="39"/>
    </x:row>
    <x:row r="75">
      <x:c r="A75" s="43" t="str">
        <x:v>BS_CURRENT_PORTION_DEBT</x:v>
      </x:c>
      <x:c r="B75" s="43" t="str">
        <x:v>H3B_ATTEMPT005</x:v>
      </x:c>
      <x:c r="C75" s="43" t="str">
        <x:v>BASE</x:v>
      </x:c>
      <x:c r="D75" s="43" t="str">
        <x:v>RMB_MILLION</x:v>
      </x:c>
      <x:c r="E75" s="43" t="n">
        <x:v>8978.96631422</x:v>
      </x:c>
      <x:c r="F75" s="43" t="n">
        <x:v>2026</x:v>
      </x:c>
      <x:c r="G75" s="39"/>
      <x:c r="H75" s="39"/>
    </x:row>
    <x:row r="76">
      <x:c r="A76" s="43" t="str">
        <x:v>BS_CURRENT_PORTION_NONCURRENT_ASSETS</x:v>
      </x:c>
      <x:c r="B76" s="43" t="str">
        <x:v>H3B_ATTEMPT005</x:v>
      </x:c>
      <x:c r="C76" s="43" t="str">
        <x:v>BASE</x:v>
      </x:c>
      <x:c r="D76" s="43" t="str">
        <x:v>RMB_MILLION</x:v>
      </x:c>
      <x:c r="E76" s="43" t="n">
        <x:v>155634.74352617</x:v>
      </x:c>
      <x:c r="F76" s="43" t="n">
        <x:v>2026</x:v>
      </x:c>
      <x:c r="G76" s="39"/>
      <x:c r="H76" s="39"/>
    </x:row>
    <x:row r="77">
      <x:c r="A77" s="43" t="str">
        <x:v>BS_CURRENT_PORTION_NONCURRENT_ASSETS_FINANCE</x:v>
      </x:c>
      <x:c r="B77" s="43" t="str">
        <x:v>H3B_ATTEMPT005</x:v>
      </x:c>
      <x:c r="C77" s="43" t="str">
        <x:v>BASE</x:v>
      </x:c>
      <x:c r="D77" s="43" t="str">
        <x:v>RMB_MILLION</x:v>
      </x:c>
      <x:c r="E77" s="43" t="n">
        <x:v>272.21552617</x:v>
      </x:c>
      <x:c r="F77" s="43" t="n">
        <x:v>2026</x:v>
      </x:c>
      <x:c r="G77" s="39"/>
      <x:c r="H77" s="39"/>
    </x:row>
    <x:row r="78">
      <x:c r="A78" s="43" t="str">
        <x:v>BS_CURRENT_PORTION_NONCURRENT_ASSETS_TREASURY</x:v>
      </x:c>
      <x:c r="B78" s="43" t="str">
        <x:v>H3B_ATTEMPT005</x:v>
      </x:c>
      <x:c r="C78" s="43" t="str">
        <x:v>BASE</x:v>
      </x:c>
      <x:c r="D78" s="43" t="str">
        <x:v>RMB_MILLION</x:v>
      </x:c>
      <x:c r="E78" s="43" t="n">
        <x:v>155362.528</x:v>
      </x:c>
      <x:c r="F78" s="43" t="n">
        <x:v>2026</x:v>
      </x:c>
      <x:c r="G78" s="39"/>
      <x:c r="H78" s="39"/>
    </x:row>
    <x:row r="79">
      <x:c r="A79" s="43" t="str">
        <x:v>BS_CUSTOMER_DEPOSITS</x:v>
      </x:c>
      <x:c r="B79" s="43" t="str">
        <x:v>H3B_ATTEMPT005</x:v>
      </x:c>
      <x:c r="C79" s="43" t="str">
        <x:v>BASE</x:v>
      </x:c>
      <x:c r="D79" s="43" t="str">
        <x:v>RMB_MILLION</x:v>
      </x:c>
      <x:c r="E79" s="43" t="n">
        <x:v>142.78717039</x:v>
      </x:c>
      <x:c r="F79" s="43" t="n">
        <x:v>2026</x:v>
      </x:c>
      <x:c r="G79" s="39"/>
      <x:c r="H79" s="39"/>
    </x:row>
    <x:row r="80">
      <x:c r="A80" s="43" t="str">
        <x:v>BS_DERIVATIVE_FINANCIAL_ASSETS</x:v>
      </x:c>
      <x:c r="B80" s="43" t="str">
        <x:v>H3B_ATTEMPT005</x:v>
      </x:c>
      <x:c r="C80" s="43" t="str">
        <x:v>BASE</x:v>
      </x:c>
      <x:c r="D80" s="43" t="str">
        <x:v>RMB_MILLION</x:v>
      </x:c>
      <x:c r="E80" s="43" t="n">
        <x:v>2367.00158773</x:v>
      </x:c>
      <x:c r="F80" s="43" t="n">
        <x:v>2026</x:v>
      </x:c>
      <x:c r="G80" s="39"/>
      <x:c r="H80" s="39"/>
    </x:row>
    <x:row r="81">
      <x:c r="A81" s="43" t="str">
        <x:v>BS_DERIVATIVE_LIABILITIES</x:v>
      </x:c>
      <x:c r="B81" s="43" t="str">
        <x:v>H3B_ATTEMPT005</x:v>
      </x:c>
      <x:c r="C81" s="43" t="str">
        <x:v>BASE</x:v>
      </x:c>
      <x:c r="D81" s="43" t="str">
        <x:v>RMB_MILLION</x:v>
      </x:c>
      <x:c r="E81" s="43" t="n">
        <x:v>906.0176551</x:v>
      </x:c>
      <x:c r="F81" s="43" t="n">
        <x:v>2026</x:v>
      </x:c>
      <x:c r="G81" s="39"/>
      <x:c r="H81" s="39"/>
    </x:row>
    <x:row r="82">
      <x:c r="A82" s="43" t="str">
        <x:v>BS_EMPLOYEE_COMP</x:v>
      </x:c>
      <x:c r="B82" s="43" t="str">
        <x:v>H3B_ATTEMPT005</x:v>
      </x:c>
      <x:c r="C82" s="43" t="str">
        <x:v>BASE</x:v>
      </x:c>
      <x:c r="D82" s="43" t="str">
        <x:v>RMB_MILLION</x:v>
      </x:c>
      <x:c r="E82" s="43" t="n">
        <x:v>10269.52351556</x:v>
      </x:c>
      <x:c r="F82" s="43" t="n">
        <x:v>2026</x:v>
      </x:c>
      <x:c r="G82" s="39"/>
      <x:c r="H82" s="39"/>
    </x:row>
    <x:row r="83">
      <x:c r="A83" s="43" t="str">
        <x:v>BS_GOODWILL</x:v>
      </x:c>
      <x:c r="B83" s="43" t="str">
        <x:v>H3B_ATTEMPT005</x:v>
      </x:c>
      <x:c r="C83" s="43" t="str">
        <x:v>BASE</x:v>
      </x:c>
      <x:c r="D83" s="43" t="str">
        <x:v>RMB_MILLION</x:v>
      </x:c>
      <x:c r="E83" s="43" t="n">
        <x:v>36473.34250207</x:v>
      </x:c>
      <x:c r="F83" s="43" t="n">
        <x:v>2026</x:v>
      </x:c>
      <x:c r="G83" s="39"/>
      <x:c r="H83" s="39"/>
    </x:row>
    <x:row r="84">
      <x:c r="A84" s="43" t="str">
        <x:v>BS_INCOME_TAX_PAYABLE</x:v>
      </x:c>
      <x:c r="B84" s="43" t="str">
        <x:v>H3B_ATTEMPT005</x:v>
      </x:c>
      <x:c r="C84" s="43" t="str">
        <x:v>BASE</x:v>
      </x:c>
      <x:c r="D84" s="43" t="str">
        <x:v>RMB_MILLION</x:v>
      </x:c>
      <x:c r="E84" s="43" t="n">
        <x:v>4775.42327306</x:v>
      </x:c>
      <x:c r="F84" s="43" t="n">
        <x:v>2026</x:v>
      </x:c>
      <x:c r="G84" s="39"/>
      <x:c r="H84" s="39"/>
    </x:row>
    <x:row r="85">
      <x:c r="A85" s="43" t="str">
        <x:v>BS_INTANGIBLES</x:v>
      </x:c>
      <x:c r="B85" s="43" t="str">
        <x:v>H3B_ATTEMPT005</x:v>
      </x:c>
      <x:c r="C85" s="43" t="str">
        <x:v>BASE</x:v>
      </x:c>
      <x:c r="D85" s="43" t="str">
        <x:v>RMB_MILLION</x:v>
      </x:c>
      <x:c r="E85" s="43" t="n">
        <x:v>23536.53216705</x:v>
      </x:c>
      <x:c r="F85" s="43" t="n">
        <x:v>2026</x:v>
      </x:c>
      <x:c r="G85" s="39"/>
      <x:c r="H85" s="39"/>
    </x:row>
    <x:row r="86">
      <x:c r="A86" s="43" t="str">
        <x:v>BS_INVENTORY</x:v>
      </x:c>
      <x:c r="B86" s="43" t="str">
        <x:v>H3B_ATTEMPT005</x:v>
      </x:c>
      <x:c r="C86" s="43" t="str">
        <x:v>BASE</x:v>
      </x:c>
      <x:c r="D86" s="43" t="str">
        <x:v>RMB_MILLION</x:v>
      </x:c>
      <x:c r="E86" s="43" t="n">
        <x:v>58037.17487401</x:v>
      </x:c>
      <x:c r="F86" s="43" t="n">
        <x:v>2026</x:v>
      </x:c>
      <x:c r="G86" s="39"/>
      <x:c r="H86" s="39"/>
    </x:row>
    <x:row r="87">
      <x:c r="A87" s="43" t="str">
        <x:v>BS_LOANS_ADVANCES_CURRENT</x:v>
      </x:c>
      <x:c r="B87" s="43" t="str">
        <x:v>H3B_ATTEMPT005</x:v>
      </x:c>
      <x:c r="C87" s="43" t="str">
        <x:v>BASE</x:v>
      </x:c>
      <x:c r="D87" s="43" t="str">
        <x:v>RMB_MILLION</x:v>
      </x:c>
      <x:c r="E87" s="43" t="n">
        <x:v>12541.3545955</x:v>
      </x:c>
      <x:c r="F87" s="43" t="n">
        <x:v>2026</x:v>
      </x:c>
      <x:c r="G87" s="39"/>
      <x:c r="H87" s="39"/>
    </x:row>
    <x:row r="88">
      <x:c r="A88" s="43" t="str">
        <x:v>BS_LONG_TERM_BORROWINGS</x:v>
      </x:c>
      <x:c r="B88" s="43" t="str">
        <x:v>H3B_ATTEMPT005</x:v>
      </x:c>
      <x:c r="C88" s="43" t="str">
        <x:v>BASE</x:v>
      </x:c>
      <x:c r="D88" s="43" t="str">
        <x:v>RMB_MILLION</x:v>
      </x:c>
      <x:c r="E88" s="43" t="n">
        <x:v>20647.55965528</x:v>
      </x:c>
      <x:c r="F88" s="43" t="n">
        <x:v>2026</x:v>
      </x:c>
      <x:c r="G88" s="39"/>
      <x:c r="H88" s="39"/>
    </x:row>
    <x:row r="89">
      <x:c r="A89" s="43" t="str">
        <x:v>BS_LONG_TERM_INVESTMENTS</x:v>
      </x:c>
      <x:c r="B89" s="43" t="str">
        <x:v>H3B_ATTEMPT005</x:v>
      </x:c>
      <x:c r="C89" s="43" t="str">
        <x:v>BASE</x:v>
      </x:c>
      <x:c r="D89" s="43" t="str">
        <x:v>RMB_MILLION</x:v>
      </x:c>
      <x:c r="E89" s="43" t="n">
        <x:v>5083.99836875</x:v>
      </x:c>
      <x:c r="F89" s="43" t="n">
        <x:v>2026</x:v>
      </x:c>
      <x:c r="G89" s="39"/>
      <x:c r="H89" s="39"/>
    </x:row>
    <x:row r="90">
      <x:c r="A90" s="43" t="str">
        <x:v>BS_NCI</x:v>
      </x:c>
      <x:c r="B90" s="43" t="str">
        <x:v>H3B_ATTEMPT005</x:v>
      </x:c>
      <x:c r="C90" s="43" t="str">
        <x:v>BASE</x:v>
      </x:c>
      <x:c r="D90" s="43" t="str">
        <x:v>RMB_MILLION</x:v>
      </x:c>
      <x:c r="E90" s="43" t="n">
        <x:v>13767.89603522</x:v>
      </x:c>
      <x:c r="F90" s="43" t="n">
        <x:v>2026</x:v>
      </x:c>
      <x:c r="G90" s="39"/>
      <x:c r="H90" s="39"/>
    </x:row>
    <x:row r="91">
      <x:c r="A91" s="43" t="str">
        <x:v>BS_NOTES_PAYABLE</x:v>
      </x:c>
      <x:c r="B91" s="43" t="str">
        <x:v>H3B_ATTEMPT005</x:v>
      </x:c>
      <x:c r="C91" s="43" t="str">
        <x:v>BASE</x:v>
      </x:c>
      <x:c r="D91" s="43" t="str">
        <x:v>RMB_MILLION</x:v>
      </x:c>
      <x:c r="E91" s="43" t="n">
        <x:v>28876.71794467</x:v>
      </x:c>
      <x:c r="F91" s="43" t="n">
        <x:v>2026</x:v>
      </x:c>
      <x:c r="G91" s="39"/>
      <x:c r="H91" s="39"/>
    </x:row>
    <x:row r="92">
      <x:c r="A92" s="43" t="str">
        <x:v>BS_NOTES_RECEIVABLE</x:v>
      </x:c>
      <x:c r="B92" s="43" t="str">
        <x:v>H3B_ATTEMPT005</x:v>
      </x:c>
      <x:c r="C92" s="43" t="str">
        <x:v>BASE</x:v>
      </x:c>
      <x:c r="D92" s="43" t="str">
        <x:v>RMB_MILLION</x:v>
      </x:c>
      <x:c r="E92" s="43" t="n">
        <x:v>5586.23847931</x:v>
      </x:c>
      <x:c r="F92" s="43" t="n">
        <x:v>2026</x:v>
      </x:c>
      <x:c r="G92" s="39"/>
      <x:c r="H92" s="39"/>
    </x:row>
    <x:row r="93">
      <x:c r="A93" s="43" t="str">
        <x:v>BS_OTHER_CURRENT_ASSETS</x:v>
      </x:c>
      <x:c r="B93" s="43" t="str">
        <x:v>H3B_ATTEMPT005</x:v>
      </x:c>
      <x:c r="C93" s="43" t="str">
        <x:v>BASE</x:v>
      </x:c>
      <x:c r="D93" s="43" t="str">
        <x:v>RMB_MILLION</x:v>
      </x:c>
      <x:c r="E93" s="43" t="n">
        <x:v>26926.04261248</x:v>
      </x:c>
      <x:c r="F93" s="43" t="n">
        <x:v>2026</x:v>
      </x:c>
      <x:c r="G93" s="39"/>
      <x:c r="H93" s="39"/>
    </x:row>
    <x:row r="94">
      <x:c r="A94" s="43" t="str">
        <x:v>BS_OTHER_CURRENT_ASSETS_HEDGE</x:v>
      </x:c>
      <x:c r="B94" s="43" t="str">
        <x:v>H3B_ATTEMPT005</x:v>
      </x:c>
      <x:c r="C94" s="43" t="str">
        <x:v>BASE</x:v>
      </x:c>
      <x:c r="D94" s="43" t="str">
        <x:v>RMB_MILLION</x:v>
      </x:c>
      <x:c r="E94" s="43" t="n">
        <x:v>3408.5313052</x:v>
      </x:c>
      <x:c r="F94" s="43" t="n">
        <x:v>2026</x:v>
      </x:c>
      <x:c r="G94" s="39"/>
      <x:c r="H94" s="39"/>
    </x:row>
    <x:row r="95">
      <x:c r="A95" s="43" t="str">
        <x:v>BS_OTHER_CURRENT_ASSETS_OPERATING</x:v>
      </x:c>
      <x:c r="B95" s="43" t="str">
        <x:v>H3B_ATTEMPT005</x:v>
      </x:c>
      <x:c r="C95" s="43" t="str">
        <x:v>BASE</x:v>
      </x:c>
      <x:c r="D95" s="43" t="str">
        <x:v>RMB_MILLION</x:v>
      </x:c>
      <x:c r="E95" s="43" t="n">
        <x:v>22090.37730728</x:v>
      </x:c>
      <x:c r="F95" s="43" t="n">
        <x:v>2026</x:v>
      </x:c>
      <x:c r="G95" s="39"/>
      <x:c r="H95" s="39"/>
    </x:row>
    <x:row r="96">
      <x:c r="A96" s="43" t="str">
        <x:v>BS_OTHER_CURRENT_ASSETS_TREASURY</x:v>
      </x:c>
      <x:c r="B96" s="43" t="str">
        <x:v>H3B_ATTEMPT005</x:v>
      </x:c>
      <x:c r="C96" s="43" t="str">
        <x:v>BASE</x:v>
      </x:c>
      <x:c r="D96" s="43" t="str">
        <x:v>RMB_MILLION</x:v>
      </x:c>
      <x:c r="E96" s="43" t="n">
        <x:v>1427.134</x:v>
      </x:c>
      <x:c r="F96" s="43" t="n">
        <x:v>2026</x:v>
      </x:c>
      <x:c r="G96" s="39"/>
      <x:c r="H96" s="39"/>
    </x:row>
    <x:row r="97">
      <x:c r="A97" s="43" t="str">
        <x:v>BS_OTHER_CURRENT_LIABILITIES</x:v>
      </x:c>
      <x:c r="B97" s="43" t="str">
        <x:v>H3B_ATTEMPT005</x:v>
      </x:c>
      <x:c r="C97" s="43" t="str">
        <x:v>BASE</x:v>
      </x:c>
      <x:c r="D97" s="43" t="str">
        <x:v>RMB_MILLION</x:v>
      </x:c>
      <x:c r="E97" s="43" t="n">
        <x:v>98524.76484911</x:v>
      </x:c>
      <x:c r="F97" s="43" t="n">
        <x:v>2026</x:v>
      </x:c>
      <x:c r="G97" s="39"/>
      <x:c r="H97" s="39"/>
    </x:row>
    <x:row r="98">
      <x:c r="A98" s="43" t="str">
        <x:v>BS_OTHER_CURRENT_LIABILITIES_HEDGE</x:v>
      </x:c>
      <x:c r="B98" s="43" t="str">
        <x:v>H3B_ATTEMPT005</x:v>
      </x:c>
      <x:c r="C98" s="43" t="str">
        <x:v>BASE</x:v>
      </x:c>
      <x:c r="D98" s="43" t="str">
        <x:v>RMB_MILLION</x:v>
      </x:c>
      <x:c r="E98" s="43" t="n">
        <x:v>22.86979658</x:v>
      </x:c>
      <x:c r="F98" s="43" t="n">
        <x:v>2026</x:v>
      </x:c>
      <x:c r="G98" s="39"/>
      <x:c r="H98" s="39"/>
    </x:row>
    <x:row r="99">
      <x:c r="A99" s="43" t="str">
        <x:v>BS_OTHER_CURRENT_LIABILITIES_OPERATING</x:v>
      </x:c>
      <x:c r="B99" s="43" t="str">
        <x:v>H3B_ATTEMPT005</x:v>
      </x:c>
      <x:c r="C99" s="43" t="str">
        <x:v>BASE</x:v>
      </x:c>
      <x:c r="D99" s="43" t="str">
        <x:v>RMB_MILLION</x:v>
      </x:c>
      <x:c r="E99" s="43" t="n">
        <x:v>98501.89505253</x:v>
      </x:c>
      <x:c r="F99" s="43" t="n">
        <x:v>2026</x:v>
      </x:c>
      <x:c r="G99" s="39"/>
      <x:c r="H99" s="39"/>
    </x:row>
    <x:row r="100">
      <x:c r="A100" s="43" t="str">
        <x:v>BS_OTHER_NONCURRENT_FINANCIAL_ASSETS</x:v>
      </x:c>
      <x:c r="B100" s="43" t="str">
        <x:v>H3B_ATTEMPT005</x:v>
      </x:c>
      <x:c r="C100" s="43" t="str">
        <x:v>BASE</x:v>
      </x:c>
      <x:c r="D100" s="43" t="str">
        <x:v>RMB_MILLION</x:v>
      </x:c>
      <x:c r="E100" s="43" t="n">
        <x:v>5095.75800112</x:v>
      </x:c>
      <x:c r="F100" s="43" t="n">
        <x:v>2026</x:v>
      </x:c>
      <x:c r="G100" s="39"/>
      <x:c r="H100" s="39"/>
    </x:row>
    <x:row r="101">
      <x:c r="A101" s="43" t="str">
        <x:v>BS_OTHER_PAYABLES</x:v>
      </x:c>
      <x:c r="B101" s="43" t="str">
        <x:v>H3B_ATTEMPT005</x:v>
      </x:c>
      <x:c r="C101" s="43" t="str">
        <x:v>BASE</x:v>
      </x:c>
      <x:c r="D101" s="43" t="str">
        <x:v>RMB_MILLION</x:v>
      </x:c>
      <x:c r="E101" s="43" t="n">
        <x:v>5135.56401066</x:v>
      </x:c>
      <x:c r="F101" s="43" t="n">
        <x:v>2026</x:v>
      </x:c>
      <x:c r="G101" s="39"/>
      <x:c r="H101" s="39"/>
    </x:row>
    <x:row r="102">
      <x:c r="A102" s="43" t="str">
        <x:v>BS_OTHER_RECEIVABLES</x:v>
      </x:c>
      <x:c r="B102" s="43" t="str">
        <x:v>H3B_ATTEMPT005</x:v>
      </x:c>
      <x:c r="C102" s="43" t="str">
        <x:v>BASE</x:v>
      </x:c>
      <x:c r="D102" s="43" t="str">
        <x:v>RMB_MILLION</x:v>
      </x:c>
      <x:c r="E102" s="43" t="n">
        <x:v>3397.02826599</x:v>
      </x:c>
      <x:c r="F102" s="43" t="n">
        <x:v>2026</x:v>
      </x:c>
      <x:c r="G102" s="39"/>
      <x:c r="H102" s="39"/>
    </x:row>
    <x:row r="103">
      <x:c r="A103" s="43" t="str">
        <x:v>BS_OTHER_RESERVES</x:v>
      </x:c>
      <x:c r="B103" s="43" t="str">
        <x:v>H3B_ATTEMPT005</x:v>
      </x:c>
      <x:c r="C103" s="43" t="str">
        <x:v>BASE</x:v>
      </x:c>
      <x:c r="D103" s="43" t="str">
        <x:v>RMB_MILLION</x:v>
      </x:c>
      <x:c r="E103" s="43" t="n">
        <x:v>11196.537</x:v>
      </x:c>
      <x:c r="F103" s="43" t="n">
        <x:v>2026</x:v>
      </x:c>
      <x:c r="G103" s="39"/>
      <x:c r="H103" s="39"/>
    </x:row>
    <x:row r="104">
      <x:c r="A104" s="43" t="str">
        <x:v>BS_OTHER_TAXES_PAYABLE</x:v>
      </x:c>
      <x:c r="B104" s="43" t="str">
        <x:v>H3B_ATTEMPT005</x:v>
      </x:c>
      <x:c r="C104" s="43" t="str">
        <x:v>BASE</x:v>
      </x:c>
      <x:c r="D104" s="43" t="str">
        <x:v>RMB_MILLION</x:v>
      </x:c>
      <x:c r="E104" s="43" t="n">
        <x:v>2852.20007985</x:v>
      </x:c>
      <x:c r="F104" s="43" t="n">
        <x:v>2026</x:v>
      </x:c>
      <x:c r="G104" s="39"/>
      <x:c r="H104" s="39"/>
    </x:row>
    <x:row r="105">
      <x:c r="A105" s="43" t="str">
        <x:v>BS_PARENT_EQUITY</x:v>
      </x:c>
      <x:c r="B105" s="43" t="str">
        <x:v>H3B_ATTEMPT005</x:v>
      </x:c>
      <x:c r="C105" s="43" t="str">
        <x:v>BASE</x:v>
      </x:c>
      <x:c r="D105" s="43" t="str">
        <x:v>RMB_MILLION</x:v>
      </x:c>
      <x:c r="E105" s="43" t="n">
        <x:v>236460.06384222</x:v>
      </x:c>
      <x:c r="F105" s="43" t="n">
        <x:v>2026</x:v>
      </x:c>
      <x:c r="G105" s="39"/>
      <x:c r="H105" s="39"/>
    </x:row>
    <x:row r="106">
      <x:c r="A106" s="43" t="str">
        <x:v>BS_PPE</x:v>
      </x:c>
      <x:c r="B106" s="43" t="str">
        <x:v>H3B_ATTEMPT005</x:v>
      </x:c>
      <x:c r="C106" s="43" t="str">
        <x:v>BASE</x:v>
      </x:c>
      <x:c r="D106" s="43" t="str">
        <x:v>RMB_MILLION</x:v>
      </x:c>
      <x:c r="E106" s="43" t="n">
        <x:v>45315.16697407</x:v>
      </x:c>
      <x:c r="F106" s="43" t="n">
        <x:v>2026</x:v>
      </x:c>
      <x:c r="G106" s="39"/>
      <x:c r="H106" s="39"/>
    </x:row>
    <x:row r="107">
      <x:c r="A107" s="43" t="str">
        <x:v>BS_PREPAYMENTS</x:v>
      </x:c>
      <x:c r="B107" s="43" t="str">
        <x:v>H3B_ATTEMPT005</x:v>
      </x:c>
      <x:c r="C107" s="43" t="str">
        <x:v>BASE</x:v>
      </x:c>
      <x:c r="D107" s="43" t="str">
        <x:v>RMB_MILLION</x:v>
      </x:c>
      <x:c r="E107" s="43" t="n">
        <x:v>3180.57543658</x:v>
      </x:c>
      <x:c r="F107" s="43" t="n">
        <x:v>2026</x:v>
      </x:c>
      <x:c r="G107" s="39"/>
      <x:c r="H107" s="39"/>
    </x:row>
    <x:row r="108">
      <x:c r="A108" s="43" t="str">
        <x:v>BS_RECEIVABLES_FINANCING</x:v>
      </x:c>
      <x:c r="B108" s="43" t="str">
        <x:v>H3B_ATTEMPT005</x:v>
      </x:c>
      <x:c r="C108" s="43" t="str">
        <x:v>BASE</x:v>
      </x:c>
      <x:c r="D108" s="43" t="str">
        <x:v>RMB_MILLION</x:v>
      </x:c>
      <x:c r="E108" s="43" t="n">
        <x:v>15901.68897558</x:v>
      </x:c>
      <x:c r="F108" s="43" t="n">
        <x:v>2026</x:v>
      </x:c>
      <x:c r="G108" s="39"/>
      <x:c r="H108" s="39"/>
    </x:row>
    <x:row r="109">
      <x:c r="A109" s="43" t="str">
        <x:v>BS_RESTRICTED_CASH</x:v>
      </x:c>
      <x:c r="B109" s="43" t="str">
        <x:v>H3B_ATTEMPT005</x:v>
      </x:c>
      <x:c r="C109" s="43" t="str">
        <x:v>BASE</x:v>
      </x:c>
      <x:c r="D109" s="43" t="str">
        <x:v>RMB_MILLION</x:v>
      </x:c>
      <x:c r="E109" s="43" t="n">
        <x:v>5020.64967103</x:v>
      </x:c>
      <x:c r="F109" s="43" t="n">
        <x:v>2026</x:v>
      </x:c>
      <x:c r="G109" s="39"/>
      <x:c r="H109" s="39"/>
    </x:row>
    <x:row r="110">
      <x:c r="A110" s="43" t="str">
        <x:v>BS_RETAINED_EARNINGS</x:v>
      </x:c>
      <x:c r="B110" s="43" t="str">
        <x:v>H3B_ATTEMPT005</x:v>
      </x:c>
      <x:c r="C110" s="43" t="str">
        <x:v>BASE</x:v>
      </x:c>
      <x:c r="D110" s="43" t="str">
        <x:v>RMB_MILLION</x:v>
      </x:c>
      <x:c r="E110" s="43" t="n">
        <x:v>180466.77884222</x:v>
      </x:c>
      <x:c r="F110" s="43" t="n">
        <x:v>2026</x:v>
      </x:c>
      <x:c r="G110" s="39"/>
      <x:c r="H110" s="39"/>
    </x:row>
    <x:row r="111">
      <x:c r="A111" s="43" t="str">
        <x:v>BS_SHARE_CAPITAL</x:v>
      </x:c>
      <x:c r="B111" s="43" t="str">
        <x:v>H3B_ATTEMPT005</x:v>
      </x:c>
      <x:c r="C111" s="43" t="str">
        <x:v>BASE</x:v>
      </x:c>
      <x:c r="D111" s="43" t="str">
        <x:v>RMB_MILLION</x:v>
      </x:c>
      <x:c r="E111" s="43" t="n">
        <x:v>7597.145</x:v>
      </x:c>
      <x:c r="F111" s="43" t="n">
        <x:v>2026</x:v>
      </x:c>
      <x:c r="G111" s="39"/>
      <x:c r="H111" s="39"/>
    </x:row>
    <x:row r="112">
      <x:c r="A112" s="43" t="str">
        <x:v>BS_SHORT_TERM_BORROWING</x:v>
      </x:c>
      <x:c r="B112" s="43" t="str">
        <x:v>H3B_ATTEMPT005</x:v>
      </x:c>
      <x:c r="C112" s="43" t="str">
        <x:v>BASE</x:v>
      </x:c>
      <x:c r="D112" s="43" t="str">
        <x:v>RMB_MILLION</x:v>
      </x:c>
      <x:c r="E112" s="43" t="n">
        <x:v>46745.25733808</x:v>
      </x:c>
      <x:c r="F112" s="43" t="n">
        <x:v>2026</x:v>
      </x:c>
      <x:c r="G112" s="39"/>
      <x:c r="H112" s="39"/>
    </x:row>
    <x:row r="113">
      <x:c r="A113" s="43" t="str">
        <x:v>BS_TAXES_PAYABLE</x:v>
      </x:c>
      <x:c r="B113" s="43" t="str">
        <x:v>H3B_ATTEMPT005</x:v>
      </x:c>
      <x:c r="C113" s="43" t="str">
        <x:v>BASE</x:v>
      </x:c>
      <x:c r="D113" s="43" t="str">
        <x:v>RMB_MILLION</x:v>
      </x:c>
      <x:c r="E113" s="43" t="n">
        <x:v>7627.62335291</x:v>
      </x:c>
      <x:c r="F113" s="43" t="n">
        <x:v>2026</x:v>
      </x:c>
      <x:c r="G113" s="39"/>
      <x:c r="H113" s="39"/>
    </x:row>
    <x:row r="114">
      <x:c r="A114" s="43" t="str">
        <x:v>BS_TERM_DEPOSITS</x:v>
      </x:c>
      <x:c r="B114" s="43" t="str">
        <x:v>H3B_ATTEMPT005</x:v>
      </x:c>
      <x:c r="C114" s="43" t="str">
        <x:v>BASE</x:v>
      </x:c>
      <x:c r="D114" s="43" t="str">
        <x:v>RMB_MILLION</x:v>
      </x:c>
      <x:c r="E114" s="43" t="n">
        <x:v>12715.32156072</x:v>
      </x:c>
      <x:c r="F114" s="43" t="n">
        <x:v>2026</x:v>
      </x:c>
      <x:c r="G114" s="39"/>
      <x:c r="H114" s="39"/>
    </x:row>
    <x:row r="115">
      <x:c r="A115" s="43" t="str">
        <x:v>BS_TOTAL_ASSETS</x:v>
      </x:c>
      <x:c r="B115" s="43" t="str">
        <x:v>H3B_ATTEMPT005</x:v>
      </x:c>
      <x:c r="C115" s="43" t="str">
        <x:v>BASE</x:v>
      </x:c>
      <x:c r="D115" s="43" t="str">
        <x:v>RMB_MILLION</x:v>
      </x:c>
      <x:c r="E115" s="43" t="n">
        <x:v>641287.42962745</x:v>
      </x:c>
      <x:c r="F115" s="43" t="n">
        <x:v>2026</x:v>
      </x:c>
      <x:c r="G115" s="39"/>
      <x:c r="H115" s="39"/>
    </x:row>
    <x:row r="116">
      <x:c r="A116" s="43" t="str">
        <x:v>BS_TOTAL_CURRENT_ASSETS</x:v>
      </x:c>
      <x:c r="B116" s="43" t="str">
        <x:v>H3B_ATTEMPT005</x:v>
      </x:c>
      <x:c r="C116" s="43" t="str">
        <x:v>BASE</x:v>
      </x:c>
      <x:c r="D116" s="43" t="str">
        <x:v>RMB_MILLION</x:v>
      </x:c>
      <x:c r="E116" s="43" t="n">
        <x:v>437645.60819297</x:v>
      </x:c>
      <x:c r="F116" s="43" t="n">
        <x:v>2026</x:v>
      </x:c>
      <x:c r="G116" s="39"/>
      <x:c r="H116" s="39"/>
    </x:row>
    <x:row r="117">
      <x:c r="A117" s="43" t="str">
        <x:v>BS_TOTAL_CURRENT_ASSETS_OTHER_IMMATERIAL_COMPONENTS</x:v>
      </x:c>
      <x:c r="B117" s="43" t="str">
        <x:v>H3B_ATTEMPT005</x:v>
      </x:c>
      <x:c r="C117" s="43" t="str">
        <x:v>BASE</x:v>
      </x:c>
      <x:c r="D117" s="43" t="str">
        <x:v>RMB_MILLION</x:v>
      </x:c>
      <x:c r="E117" s="43" t="n">
        <x:v>0</x:v>
      </x:c>
      <x:c r="F117" s="43" t="n">
        <x:v>2026</x:v>
      </x:c>
      <x:c r="G117" s="39"/>
      <x:c r="H117" s="39"/>
    </x:row>
    <x:row r="118">
      <x:c r="A118" s="43" t="str">
        <x:v>BS_TOTAL_CURRENT_LIABILITIES</x:v>
      </x:c>
      <x:c r="B118" s="43" t="str">
        <x:v>H3B_ATTEMPT005</x:v>
      </x:c>
      <x:c r="C118" s="43" t="str">
        <x:v>BASE</x:v>
      </x:c>
      <x:c r="D118" s="43" t="str">
        <x:v>RMB_MILLION</x:v>
      </x:c>
      <x:c r="E118" s="43" t="n">
        <x:v>353030.65175034</x:v>
      </x:c>
      <x:c r="F118" s="43" t="n">
        <x:v>2026</x:v>
      </x:c>
      <x:c r="G118" s="39"/>
      <x:c r="H118" s="39"/>
    </x:row>
    <x:row r="119">
      <x:c r="A119" s="43" t="str">
        <x:v>BS_TOTAL_CURRENT_LIABILITIES_OTHER_IMMATERIAL_COMPONENTS</x:v>
      </x:c>
      <x:c r="B119" s="43" t="str">
        <x:v>H3B_ATTEMPT005</x:v>
      </x:c>
      <x:c r="C119" s="43" t="str">
        <x:v>BASE</x:v>
      </x:c>
      <x:c r="D119" s="43" t="str">
        <x:v>RMB_MILLION</x:v>
      </x:c>
      <x:c r="E119" s="43" t="n">
        <x:v>0</x:v>
      </x:c>
      <x:c r="F119" s="43" t="n">
        <x:v>2026</x:v>
      </x:c>
      <x:c r="G119" s="39"/>
      <x:c r="H119" s="39"/>
    </x:row>
    <x:row r="120">
      <x:c r="A120" s="43" t="str">
        <x:v>BS_TOTAL_EQUITY</x:v>
      </x:c>
      <x:c r="B120" s="43" t="str">
        <x:v>H3B_ATTEMPT005</x:v>
      </x:c>
      <x:c r="C120" s="43" t="str">
        <x:v>BASE</x:v>
      </x:c>
      <x:c r="D120" s="43" t="str">
        <x:v>RMB_MILLION</x:v>
      </x:c>
      <x:c r="E120" s="43" t="n">
        <x:v>250227.95987744</x:v>
      </x:c>
      <x:c r="F120" s="43" t="n">
        <x:v>2026</x:v>
      </x:c>
      <x:c r="G120" s="39"/>
      <x:c r="H120" s="39"/>
    </x:row>
    <x:row r="121">
      <x:c r="A121" s="43" t="str">
        <x:v>BS_TOTAL_LIABILITIES</x:v>
      </x:c>
      <x:c r="B121" s="43" t="str">
        <x:v>H3B_ATTEMPT005</x:v>
      </x:c>
      <x:c r="C121" s="43" t="str">
        <x:v>BASE</x:v>
      </x:c>
      <x:c r="D121" s="43" t="str">
        <x:v>RMB_MILLION</x:v>
      </x:c>
      <x:c r="E121" s="43" t="n">
        <x:v>391059.46975001</x:v>
      </x:c>
      <x:c r="F121" s="43" t="n">
        <x:v>2026</x:v>
      </x:c>
      <x:c r="G121" s="39"/>
      <x:c r="H121" s="39"/>
    </x:row>
    <x:row r="122">
      <x:c r="A122" s="43" t="str">
        <x:v>BS_TOTAL_NONCURRENT_ASSETS</x:v>
      </x:c>
      <x:c r="B122" s="43" t="str">
        <x:v>H3B_ATTEMPT005</x:v>
      </x:c>
      <x:c r="C122" s="43" t="str">
        <x:v>BASE</x:v>
      </x:c>
      <x:c r="D122" s="43" t="str">
        <x:v>RMB_MILLION</x:v>
      </x:c>
      <x:c r="E122" s="43" t="n">
        <x:v>203641.82143448</x:v>
      </x:c>
      <x:c r="F122" s="43" t="n">
        <x:v>2026</x:v>
      </x:c>
      <x:c r="G122" s="39"/>
      <x:c r="H122" s="39"/>
    </x:row>
    <x:row r="123">
      <x:c r="A123" s="43" t="str">
        <x:v>BS_TOTAL_NONCURRENT_ASSETS_OTHER_IMMATERIAL_COMPONENTS</x:v>
      </x:c>
      <x:c r="B123" s="43" t="str">
        <x:v>H3B_ATTEMPT005</x:v>
      </x:c>
      <x:c r="C123" s="43" t="str">
        <x:v>BASE</x:v>
      </x:c>
      <x:c r="D123" s="43" t="str">
        <x:v>RMB_MILLION</x:v>
      </x:c>
      <x:c r="E123" s="43" t="n">
        <x:v>83743.43611891</x:v>
      </x:c>
      <x:c r="F123" s="43" t="n">
        <x:v>2026</x:v>
      </x:c>
      <x:c r="G123" s="39"/>
      <x:c r="H123" s="39"/>
    </x:row>
    <x:row r="124">
      <x:c r="A124" s="43" t="str">
        <x:v>BS_TOTAL_NONCURRENT_LIABILITIES</x:v>
      </x:c>
      <x:c r="B124" s="43" t="str">
        <x:v>H3B_ATTEMPT005</x:v>
      </x:c>
      <x:c r="C124" s="43" t="str">
        <x:v>BASE</x:v>
      </x:c>
      <x:c r="D124" s="43" t="str">
        <x:v>RMB_MILLION</x:v>
      </x:c>
      <x:c r="E124" s="43" t="n">
        <x:v>38028.81799967</x:v>
      </x:c>
      <x:c r="F124" s="43" t="n">
        <x:v>2026</x:v>
      </x:c>
      <x:c r="G124" s="39"/>
      <x:c r="H124" s="39"/>
    </x:row>
    <x:row r="125">
      <x:c r="A125" s="43" t="str">
        <x:v>BS_TOTAL_NONCURRENT_LIABILITIES_OTHER_IMMATERIAL_COMPONENTS</x:v>
      </x:c>
      <x:c r="B125" s="43" t="str">
        <x:v>H3B_ATTEMPT005</x:v>
      </x:c>
      <x:c r="C125" s="43" t="str">
        <x:v>BASE</x:v>
      </x:c>
      <x:c r="D125" s="43" t="str">
        <x:v>RMB_MILLION</x:v>
      </x:c>
      <x:c r="E125" s="43" t="n">
        <x:v>17381.25834439</x:v>
      </x:c>
      <x:c r="F125" s="43" t="n">
        <x:v>2026</x:v>
      </x:c>
      <x:c r="G125" s="39"/>
      <x:c r="H125" s="39"/>
    </x:row>
    <x:row r="126">
      <x:c r="A126" s="43" t="str">
        <x:v>BS_TRADING_FINANCIAL_ASSETS</x:v>
      </x:c>
      <x:c r="B126" s="43" t="str">
        <x:v>H3B_ATTEMPT005</x:v>
      </x:c>
      <x:c r="C126" s="43" t="str">
        <x:v>BASE</x:v>
      </x:c>
      <x:c r="D126" s="43" t="str">
        <x:v>RMB_MILLION</x:v>
      </x:c>
      <x:c r="E126" s="43" t="n">
        <x:v>756.70173273</x:v>
      </x:c>
      <x:c r="F126" s="43" t="n">
        <x:v>2026</x:v>
      </x:c>
      <x:c r="G126" s="39"/>
      <x:c r="H126" s="39"/>
    </x:row>
    <x:row r="127">
      <x:c r="A127" s="43" t="str">
        <x:v>BS_TRADING_FINANCIAL_LIABILITIES</x:v>
      </x:c>
      <x:c r="B127" s="43" t="str">
        <x:v>H3B_ATTEMPT005</x:v>
      </x:c>
      <x:c r="C127" s="43" t="str">
        <x:v>BASE</x:v>
      </x:c>
      <x:c r="D127" s="43" t="str">
        <x:v>RMB_MILLION</x:v>
      </x:c>
      <x:c r="E127" s="43" t="n">
        <x:v>752.14693804</x:v>
      </x:c>
      <x:c r="F127" s="43" t="n">
        <x:v>2026</x:v>
      </x:c>
      <x:c r="G127" s="39"/>
      <x:c r="H127" s="39"/>
    </x:row>
    <x:row r="128">
      <x:c r="A128" s="43" t="str">
        <x:v>BS_TREASURY_SHARES</x:v>
      </x:c>
      <x:c r="B128" s="43" t="str">
        <x:v>H3B_ATTEMPT005</x:v>
      </x:c>
      <x:c r="C128" s="43" t="str">
        <x:v>BASE</x:v>
      </x:c>
      <x:c r="D128" s="43" t="str">
        <x:v>RMB_MILLION</x:v>
      </x:c>
      <x:c r="E128" s="43" t="n">
        <x:v>-8151.117</x:v>
      </x:c>
      <x:c r="F128" s="43" t="n">
        <x:v>2026</x:v>
      </x:c>
      <x:c r="G128" s="39"/>
      <x:c r="H128" s="39"/>
    </x:row>
    <x:row r="129">
      <x:c r="A129" s="43" t="str">
        <x:v>BS_AP</x:v>
      </x:c>
      <x:c r="B129" s="43" t="str">
        <x:v>H3B_ATTEMPT005</x:v>
      </x:c>
      <x:c r="C129" s="43" t="str">
        <x:v>BASE</x:v>
      </x:c>
      <x:c r="D129" s="43" t="str">
        <x:v>RMB_MILLION</x:v>
      </x:c>
      <x:c r="E129" s="43" t="n">
        <x:v>101325.87102088</x:v>
      </x:c>
      <x:c r="F129" s="43" t="n">
        <x:v>2027</x:v>
      </x:c>
      <x:c r="G129" s="39"/>
      <x:c r="H129" s="39"/>
    </x:row>
    <x:row r="130">
      <x:c r="A130" s="43" t="str">
        <x:v>BS_AR</x:v>
      </x:c>
      <x:c r="B130" s="43" t="str">
        <x:v>H3B_ATTEMPT005</x:v>
      </x:c>
      <x:c r="C130" s="43" t="str">
        <x:v>BASE</x:v>
      </x:c>
      <x:c r="D130" s="43" t="str">
        <x:v>RMB_MILLION</x:v>
      </x:c>
      <x:c r="E130" s="43" t="n">
        <x:v>46627.25894051</x:v>
      </x:c>
      <x:c r="F130" s="43" t="n">
        <x:v>2027</x:v>
      </x:c>
      <x:c r="G130" s="39"/>
      <x:c r="H130" s="39"/>
    </x:row>
    <x:row r="131">
      <x:c r="A131" s="43" t="str">
        <x:v>BS_CAPITAL_RESERVE</x:v>
      </x:c>
      <x:c r="B131" s="43" t="str">
        <x:v>H3B_ATTEMPT005</x:v>
      </x:c>
      <x:c r="C131" s="43" t="str">
        <x:v>BASE</x:v>
      </x:c>
      <x:c r="D131" s="43" t="str">
        <x:v>RMB_MILLION</x:v>
      </x:c>
      <x:c r="E131" s="43" t="n">
        <x:v>45350.72</x:v>
      </x:c>
      <x:c r="F131" s="43" t="n">
        <x:v>2027</x:v>
      </x:c>
      <x:c r="G131" s="39"/>
      <x:c r="H131" s="39"/>
    </x:row>
    <x:row r="132">
      <x:c r="A132" s="43" t="str">
        <x:v>BS_CASH</x:v>
      </x:c>
      <x:c r="B132" s="43" t="str">
        <x:v>H3B_ATTEMPT005</x:v>
      </x:c>
      <x:c r="C132" s="43" t="str">
        <x:v>BASE</x:v>
      </x:c>
      <x:c r="D132" s="43" t="str">
        <x:v>RMB_MILLION</x:v>
      </x:c>
      <x:c r="E132" s="43" t="n">
        <x:v>108931.704717</x:v>
      </x:c>
      <x:c r="F132" s="43" t="n">
        <x:v>2027</x:v>
      </x:c>
      <x:c r="G132" s="39"/>
      <x:c r="H132" s="39"/>
    </x:row>
    <x:row r="133">
      <x:c r="A133" s="43" t="str">
        <x:v>BS_CASH_TAXONOMY_OTHER</x:v>
      </x:c>
      <x:c r="B133" s="43" t="str">
        <x:v>H3B_ATTEMPT005</x:v>
      </x:c>
      <x:c r="C133" s="43" t="str">
        <x:v>BASE</x:v>
      </x:c>
      <x:c r="D133" s="43" t="str">
        <x:v>RMB_MILLION</x:v>
      </x:c>
      <x:c r="E133" s="43" t="n">
        <x:v>91.67693287</x:v>
      </x:c>
      <x:c r="F133" s="43" t="n">
        <x:v>2027</x:v>
      </x:c>
      <x:c r="G133" s="39"/>
      <x:c r="H133" s="39"/>
    </x:row>
    <x:row r="134">
      <x:c r="A134" s="43" t="str">
        <x:v>BS_CIP</x:v>
      </x:c>
      <x:c r="B134" s="43" t="str">
        <x:v>H3B_ATTEMPT005</x:v>
      </x:c>
      <x:c r="C134" s="43" t="str">
        <x:v>BASE</x:v>
      </x:c>
      <x:c r="D134" s="43" t="str">
        <x:v>RMB_MILLION</x:v>
      </x:c>
      <x:c r="E134" s="43" t="n">
        <x:v>5511.66249005</x:v>
      </x:c>
      <x:c r="F134" s="43" t="n">
        <x:v>2027</x:v>
      </x:c>
      <x:c r="G134" s="39"/>
      <x:c r="H134" s="39"/>
    </x:row>
    <x:row r="135">
      <x:c r="A135" s="43" t="str">
        <x:v>BS_CONTRACT_ASSETS</x:v>
      </x:c>
      <x:c r="B135" s="43" t="str">
        <x:v>H3B_ATTEMPT005</x:v>
      </x:c>
      <x:c r="C135" s="43" t="str">
        <x:v>BASE</x:v>
      </x:c>
      <x:c r="D135" s="43" t="str">
        <x:v>RMB_MILLION</x:v>
      </x:c>
      <x:c r="E135" s="43" t="n">
        <x:v>4871.86832693</x:v>
      </x:c>
      <x:c r="F135" s="43" t="n">
        <x:v>2027</x:v>
      </x:c>
      <x:c r="G135" s="39"/>
      <x:c r="H135" s="39"/>
    </x:row>
    <x:row r="136">
      <x:c r="A136" s="43" t="str">
        <x:v>BS_CONTRACT_LIABILITIES</x:v>
      </x:c>
      <x:c r="B136" s="43" t="str">
        <x:v>H3B_ATTEMPT005</x:v>
      </x:c>
      <x:c r="C136" s="43" t="str">
        <x:v>BASE</x:v>
      </x:c>
      <x:c r="D136" s="43" t="str">
        <x:v>RMB_MILLION</x:v>
      </x:c>
      <x:c r="E136" s="43" t="n">
        <x:v>53635.69098372</x:v>
      </x:c>
      <x:c r="F136" s="43" t="n">
        <x:v>2027</x:v>
      </x:c>
      <x:c r="G136" s="39"/>
      <x:c r="H136" s="39"/>
    </x:row>
    <x:row r="137">
      <x:c r="A137" s="43" t="str">
        <x:v>BS_CURRENT_PORTION_DEBT</x:v>
      </x:c>
      <x:c r="B137" s="43" t="str">
        <x:v>H3B_ATTEMPT005</x:v>
      </x:c>
      <x:c r="C137" s="43" t="str">
        <x:v>BASE</x:v>
      </x:c>
      <x:c r="D137" s="43" t="str">
        <x:v>RMB_MILLION</x:v>
      </x:c>
      <x:c r="E137" s="43" t="n">
        <x:v>0</x:v>
      </x:c>
      <x:c r="F137" s="43" t="n">
        <x:v>2027</x:v>
      </x:c>
      <x:c r="G137" s="39"/>
      <x:c r="H137" s="39"/>
    </x:row>
    <x:row r="138">
      <x:c r="A138" s="43" t="str">
        <x:v>BS_CURRENT_PORTION_NONCURRENT_ASSETS</x:v>
      </x:c>
      <x:c r="B138" s="43" t="str">
        <x:v>H3B_ATTEMPT005</x:v>
      </x:c>
      <x:c r="C138" s="43" t="str">
        <x:v>BASE</x:v>
      </x:c>
      <x:c r="D138" s="43" t="str">
        <x:v>RMB_MILLION</x:v>
      </x:c>
      <x:c r="E138" s="43" t="n">
        <x:v>155654.34125968</x:v>
      </x:c>
      <x:c r="F138" s="43" t="n">
        <x:v>2027</x:v>
      </x:c>
      <x:c r="G138" s="39"/>
      <x:c r="H138" s="39"/>
    </x:row>
    <x:row r="139">
      <x:c r="A139" s="43" t="str">
        <x:v>BS_CURRENT_PORTION_NONCURRENT_ASSETS_FINANCE</x:v>
      </x:c>
      <x:c r="B139" s="43" t="str">
        <x:v>H3B_ATTEMPT005</x:v>
      </x:c>
      <x:c r="C139" s="43" t="str">
        <x:v>BASE</x:v>
      </x:c>
      <x:c r="D139" s="43" t="str">
        <x:v>RMB_MILLION</x:v>
      </x:c>
      <x:c r="E139" s="43" t="n">
        <x:v>291.81325968</x:v>
      </x:c>
      <x:c r="F139" s="43" t="n">
        <x:v>2027</x:v>
      </x:c>
      <x:c r="G139" s="39"/>
      <x:c r="H139" s="39"/>
    </x:row>
    <x:row r="140">
      <x:c r="A140" s="43" t="str">
        <x:v>BS_CURRENT_PORTION_NONCURRENT_ASSETS_TREASURY</x:v>
      </x:c>
      <x:c r="B140" s="43" t="str">
        <x:v>H3B_ATTEMPT005</x:v>
      </x:c>
      <x:c r="C140" s="43" t="str">
        <x:v>BASE</x:v>
      </x:c>
      <x:c r="D140" s="43" t="str">
        <x:v>RMB_MILLION</x:v>
      </x:c>
      <x:c r="E140" s="43" t="n">
        <x:v>155362.528</x:v>
      </x:c>
      <x:c r="F140" s="43" t="n">
        <x:v>2027</x:v>
      </x:c>
      <x:c r="G140" s="39"/>
      <x:c r="H140" s="39"/>
    </x:row>
    <x:row r="141">
      <x:c r="A141" s="43" t="str">
        <x:v>BS_CUSTOMER_DEPOSITS</x:v>
      </x:c>
      <x:c r="B141" s="43" t="str">
        <x:v>H3B_ATTEMPT005</x:v>
      </x:c>
      <x:c r="C141" s="43" t="str">
        <x:v>BASE</x:v>
      </x:c>
      <x:c r="D141" s="43" t="str">
        <x:v>RMB_MILLION</x:v>
      </x:c>
      <x:c r="E141" s="43" t="n">
        <x:v>153.06691068</x:v>
      </x:c>
      <x:c r="F141" s="43" t="n">
        <x:v>2027</x:v>
      </x:c>
      <x:c r="G141" s="39"/>
      <x:c r="H141" s="39"/>
    </x:row>
    <x:row r="142">
      <x:c r="A142" s="43" t="str">
        <x:v>BS_DERIVATIVE_FINANCIAL_ASSETS</x:v>
      </x:c>
      <x:c r="B142" s="43" t="str">
        <x:v>H3B_ATTEMPT005</x:v>
      </x:c>
      <x:c r="C142" s="43" t="str">
        <x:v>BASE</x:v>
      </x:c>
      <x:c r="D142" s="43" t="str">
        <x:v>RMB_MILLION</x:v>
      </x:c>
      <x:c r="E142" s="43" t="n">
        <x:v>2537.41018635</x:v>
      </x:c>
      <x:c r="F142" s="43" t="n">
        <x:v>2027</x:v>
      </x:c>
      <x:c r="G142" s="39"/>
      <x:c r="H142" s="39"/>
    </x:row>
    <x:row r="143">
      <x:c r="A143" s="43" t="str">
        <x:v>BS_DERIVATIVE_LIABILITIES</x:v>
      </x:c>
      <x:c r="B143" s="43" t="str">
        <x:v>H3B_ATTEMPT005</x:v>
      </x:c>
      <x:c r="C143" s="43" t="str">
        <x:v>BASE</x:v>
      </x:c>
      <x:c r="D143" s="43" t="str">
        <x:v>RMB_MILLION</x:v>
      </x:c>
      <x:c r="E143" s="43" t="n">
        <x:v>971.24498732</x:v>
      </x:c>
      <x:c r="F143" s="43" t="n">
        <x:v>2027</x:v>
      </x:c>
      <x:c r="G143" s="39"/>
      <x:c r="H143" s="39"/>
    </x:row>
    <x:row r="144">
      <x:c r="A144" s="43" t="str">
        <x:v>BS_EMPLOYEE_COMP</x:v>
      </x:c>
      <x:c r="B144" s="43" t="str">
        <x:v>H3B_ATTEMPT005</x:v>
      </x:c>
      <x:c r="C144" s="43" t="str">
        <x:v>BASE</x:v>
      </x:c>
      <x:c r="D144" s="43" t="str">
        <x:v>RMB_MILLION</x:v>
      </x:c>
      <x:c r="E144" s="43" t="n">
        <x:v>11008.86189196</x:v>
      </x:c>
      <x:c r="F144" s="43" t="n">
        <x:v>2027</x:v>
      </x:c>
      <x:c r="G144" s="39"/>
      <x:c r="H144" s="39"/>
    </x:row>
    <x:row r="145">
      <x:c r="A145" s="43" t="str">
        <x:v>BS_GOODWILL</x:v>
      </x:c>
      <x:c r="B145" s="43" t="str">
        <x:v>H3B_ATTEMPT005</x:v>
      </x:c>
      <x:c r="C145" s="43" t="str">
        <x:v>BASE</x:v>
      </x:c>
      <x:c r="D145" s="43" t="str">
        <x:v>RMB_MILLION</x:v>
      </x:c>
      <x:c r="E145" s="43" t="n">
        <x:v>39099.18407946</x:v>
      </x:c>
      <x:c r="F145" s="43" t="n">
        <x:v>2027</x:v>
      </x:c>
      <x:c r="G145" s="39"/>
      <x:c r="H145" s="39"/>
    </x:row>
    <x:row r="146">
      <x:c r="A146" s="43" t="str">
        <x:v>BS_INCOME_TAX_PAYABLE</x:v>
      </x:c>
      <x:c r="B146" s="43" t="str">
        <x:v>H3B_ATTEMPT005</x:v>
      </x:c>
      <x:c r="C146" s="43" t="str">
        <x:v>BASE</x:v>
      </x:c>
      <x:c r="D146" s="43" t="str">
        <x:v>RMB_MILLION</x:v>
      </x:c>
      <x:c r="E146" s="43" t="n">
        <x:v>5119.22244582</x:v>
      </x:c>
      <x:c r="F146" s="43" t="n">
        <x:v>2027</x:v>
      </x:c>
      <x:c r="G146" s="39"/>
      <x:c r="H146" s="39"/>
    </x:row>
    <x:row r="147">
      <x:c r="A147" s="43" t="str">
        <x:v>BS_INTANGIBLES</x:v>
      </x:c>
      <x:c r="B147" s="43" t="str">
        <x:v>H3B_ATTEMPT005</x:v>
      </x:c>
      <x:c r="C147" s="43" t="str">
        <x:v>BASE</x:v>
      </x:c>
      <x:c r="D147" s="43" t="str">
        <x:v>RMB_MILLION</x:v>
      </x:c>
      <x:c r="E147" s="43" t="n">
        <x:v>25567.30897947</x:v>
      </x:c>
      <x:c r="F147" s="43" t="n">
        <x:v>2027</x:v>
      </x:c>
      <x:c r="G147" s="39"/>
      <x:c r="H147" s="39"/>
    </x:row>
    <x:row r="148">
      <x:c r="A148" s="43" t="str">
        <x:v>BS_INVENTORY</x:v>
      </x:c>
      <x:c r="B148" s="43" t="str">
        <x:v>H3B_ATTEMPT005</x:v>
      </x:c>
      <x:c r="C148" s="43" t="str">
        <x:v>BASE</x:v>
      </x:c>
      <x:c r="D148" s="43" t="str">
        <x:v>RMB_MILLION</x:v>
      </x:c>
      <x:c r="E148" s="43" t="n">
        <x:v>64156.56278451</x:v>
      </x:c>
      <x:c r="F148" s="43" t="n">
        <x:v>2027</x:v>
      </x:c>
      <x:c r="G148" s="39"/>
      <x:c r="H148" s="39"/>
    </x:row>
    <x:row r="149">
      <x:c r="A149" s="43" t="str">
        <x:v>BS_LOANS_ADVANCES_CURRENT</x:v>
      </x:c>
      <x:c r="B149" s="43" t="str">
        <x:v>H3B_ATTEMPT005</x:v>
      </x:c>
      <x:c r="C149" s="43" t="str">
        <x:v>BASE</x:v>
      </x:c>
      <x:c r="D149" s="43" t="str">
        <x:v>RMB_MILLION</x:v>
      </x:c>
      <x:c r="E149" s="43" t="n">
        <x:v>13444.2499178</x:v>
      </x:c>
      <x:c r="F149" s="43" t="n">
        <x:v>2027</x:v>
      </x:c>
      <x:c r="G149" s="39"/>
      <x:c r="H149" s="39"/>
    </x:row>
    <x:row r="150">
      <x:c r="A150" s="43" t="str">
        <x:v>BS_LONG_TERM_BORROWINGS</x:v>
      </x:c>
      <x:c r="B150" s="43" t="str">
        <x:v>H3B_ATTEMPT005</x:v>
      </x:c>
      <x:c r="C150" s="43" t="str">
        <x:v>BASE</x:v>
      </x:c>
      <x:c r="D150" s="43" t="str">
        <x:v>RMB_MILLION</x:v>
      </x:c>
      <x:c r="E150" s="43" t="n">
        <x:v>21828.89451977</x:v>
      </x:c>
      <x:c r="F150" s="43" t="n">
        <x:v>2027</x:v>
      </x:c>
      <x:c r="G150" s="39"/>
      <x:c r="H150" s="39"/>
    </x:row>
    <x:row r="151">
      <x:c r="A151" s="43" t="str">
        <x:v>BS_LONG_TERM_INVESTMENTS</x:v>
      </x:c>
      <x:c r="B151" s="43" t="str">
        <x:v>H3B_ATTEMPT005</x:v>
      </x:c>
      <x:c r="C151" s="43" t="str">
        <x:v>BASE</x:v>
      </x:c>
      <x:c r="D151" s="43" t="str">
        <x:v>RMB_MILLION</x:v>
      </x:c>
      <x:c r="E151" s="43" t="n">
        <x:v>5450.01292569</x:v>
      </x:c>
      <x:c r="F151" s="43" t="n">
        <x:v>2027</x:v>
      </x:c>
      <x:c r="G151" s="39"/>
      <x:c r="H151" s="39"/>
    </x:row>
    <x:row r="152">
      <x:c r="A152" s="43" t="str">
        <x:v>BS_NCI</x:v>
      </x:c>
      <x:c r="B152" s="43" t="str">
        <x:v>H3B_ATTEMPT005</x:v>
      </x:c>
      <x:c r="C152" s="43" t="str">
        <x:v>BASE</x:v>
      </x:c>
      <x:c r="D152" s="43" t="str">
        <x:v>RMB_MILLION</x:v>
      </x:c>
      <x:c r="E152" s="43" t="n">
        <x:v>14359.46856478</x:v>
      </x:c>
      <x:c r="F152" s="43" t="n">
        <x:v>2027</x:v>
      </x:c>
      <x:c r="G152" s="39"/>
      <x:c r="H152" s="39"/>
    </x:row>
    <x:row r="153">
      <x:c r="A153" s="43" t="str">
        <x:v>BS_NOTES_PAYABLE</x:v>
      </x:c>
      <x:c r="B153" s="43" t="str">
        <x:v>H3B_ATTEMPT005</x:v>
      </x:c>
      <x:c r="C153" s="43" t="str">
        <x:v>BASE</x:v>
      </x:c>
      <x:c r="D153" s="43" t="str">
        <x:v>RMB_MILLION</x:v>
      </x:c>
      <x:c r="E153" s="43" t="n">
        <x:v>30955.6523498</x:v>
      </x:c>
      <x:c r="F153" s="43" t="n">
        <x:v>2027</x:v>
      </x:c>
      <x:c r="G153" s="39"/>
      <x:c r="H153" s="39"/>
    </x:row>
    <x:row r="154">
      <x:c r="A154" s="43" t="str">
        <x:v>BS_NOTES_RECEIVABLE</x:v>
      </x:c>
      <x:c r="B154" s="43" t="str">
        <x:v>H3B_ATTEMPT005</x:v>
      </x:c>
      <x:c r="C154" s="43" t="str">
        <x:v>BASE</x:v>
      </x:c>
      <x:c r="D154" s="43" t="str">
        <x:v>RMB_MILLION</x:v>
      </x:c>
      <x:c r="E154" s="43" t="n">
        <x:v>5988.41103203</x:v>
      </x:c>
      <x:c r="F154" s="43" t="n">
        <x:v>2027</x:v>
      </x:c>
      <x:c r="G154" s="39"/>
      <x:c r="H154" s="39"/>
    </x:row>
    <x:row r="155">
      <x:c r="A155" s="43" t="str">
        <x:v>BS_OTHER_CURRENT_ASSETS</x:v>
      </x:c>
      <x:c r="B155" s="43" t="str">
        <x:v>H3B_ATTEMPT005</x:v>
      </x:c>
      <x:c r="C155" s="43" t="str">
        <x:v>BASE</x:v>
      </x:c>
      <x:c r="D155" s="43" t="str">
        <x:v>RMB_MILLION</x:v>
      </x:c>
      <x:c r="E155" s="43" t="n">
        <x:v>28761.79688723</x:v>
      </x:c>
      <x:c r="F155" s="43" t="n">
        <x:v>2027</x:v>
      </x:c>
      <x:c r="G155" s="39"/>
      <x:c r="H155" s="39"/>
    </x:row>
    <x:row r="156">
      <x:c r="A156" s="43" t="str">
        <x:v>BS_OTHER_CURRENT_ASSETS_HEDGE</x:v>
      </x:c>
      <x:c r="B156" s="43" t="str">
        <x:v>H3B_ATTEMPT005</x:v>
      </x:c>
      <x:c r="C156" s="43" t="str">
        <x:v>BASE</x:v>
      </x:c>
      <x:c r="D156" s="43" t="str">
        <x:v>RMB_MILLION</x:v>
      </x:c>
      <x:c r="E156" s="43" t="n">
        <x:v>3653.92321625</x:v>
      </x:c>
      <x:c r="F156" s="43" t="n">
        <x:v>2027</x:v>
      </x:c>
      <x:c r="G156" s="39"/>
      <x:c r="H156" s="39"/>
    </x:row>
    <x:row r="157">
      <x:c r="A157" s="43" t="str">
        <x:v>BS_OTHER_CURRENT_ASSETS_OPERATING</x:v>
      </x:c>
      <x:c r="B157" s="43" t="str">
        <x:v>H3B_ATTEMPT005</x:v>
      </x:c>
      <x:c r="C157" s="43" t="str">
        <x:v>BASE</x:v>
      </x:c>
      <x:c r="D157" s="43" t="str">
        <x:v>RMB_MILLION</x:v>
      </x:c>
      <x:c r="E157" s="43" t="n">
        <x:v>23680.73967098</x:v>
      </x:c>
      <x:c r="F157" s="43" t="n">
        <x:v>2027</x:v>
      </x:c>
      <x:c r="G157" s="39"/>
      <x:c r="H157" s="39"/>
    </x:row>
    <x:row r="158">
      <x:c r="A158" s="43" t="str">
        <x:v>BS_OTHER_CURRENT_ASSETS_TREASURY</x:v>
      </x:c>
      <x:c r="B158" s="43" t="str">
        <x:v>H3B_ATTEMPT005</x:v>
      </x:c>
      <x:c r="C158" s="43" t="str">
        <x:v>BASE</x:v>
      </x:c>
      <x:c r="D158" s="43" t="str">
        <x:v>RMB_MILLION</x:v>
      </x:c>
      <x:c r="E158" s="43" t="n">
        <x:v>1427.134</x:v>
      </x:c>
      <x:c r="F158" s="43" t="n">
        <x:v>2027</x:v>
      </x:c>
      <x:c r="G158" s="39"/>
      <x:c r="H158" s="39"/>
    </x:row>
    <x:row r="159">
      <x:c r="A159" s="43" t="str">
        <x:v>BS_OTHER_CURRENT_LIABILITIES</x:v>
      </x:c>
      <x:c r="B159" s="43" t="str">
        <x:v>H3B_ATTEMPT005</x:v>
      </x:c>
      <x:c r="C159" s="43" t="str">
        <x:v>BASE</x:v>
      </x:c>
      <x:c r="D159" s="43" t="str">
        <x:v>RMB_MILLION</x:v>
      </x:c>
      <x:c r="E159" s="43" t="n">
        <x:v>105617.90208842</x:v>
      </x:c>
      <x:c r="F159" s="43" t="n">
        <x:v>2027</x:v>
      </x:c>
      <x:c r="G159" s="39"/>
      <x:c r="H159" s="39"/>
    </x:row>
    <x:row r="160">
      <x:c r="A160" s="43" t="str">
        <x:v>BS_OTHER_CURRENT_LIABILITIES_HEDGE</x:v>
      </x:c>
      <x:c r="B160" s="43" t="str">
        <x:v>H3B_ATTEMPT005</x:v>
      </x:c>
      <x:c r="C160" s="43" t="str">
        <x:v>BASE</x:v>
      </x:c>
      <x:c r="D160" s="43" t="str">
        <x:v>RMB_MILLION</x:v>
      </x:c>
      <x:c r="E160" s="43" t="n">
        <x:v>24.51627203</x:v>
      </x:c>
      <x:c r="F160" s="43" t="n">
        <x:v>2027</x:v>
      </x:c>
      <x:c r="G160" s="39"/>
      <x:c r="H160" s="39"/>
    </x:row>
    <x:row r="161">
      <x:c r="A161" s="43" t="str">
        <x:v>BS_OTHER_CURRENT_LIABILITIES_OPERATING</x:v>
      </x:c>
      <x:c r="B161" s="43" t="str">
        <x:v>H3B_ATTEMPT005</x:v>
      </x:c>
      <x:c r="C161" s="43" t="str">
        <x:v>BASE</x:v>
      </x:c>
      <x:c r="D161" s="43" t="str">
        <x:v>RMB_MILLION</x:v>
      </x:c>
      <x:c r="E161" s="43" t="n">
        <x:v>105593.38581639</x:v>
      </x:c>
      <x:c r="F161" s="43" t="n">
        <x:v>2027</x:v>
      </x:c>
      <x:c r="G161" s="39"/>
      <x:c r="H161" s="39"/>
    </x:row>
    <x:row r="162">
      <x:c r="A162" s="43" t="str">
        <x:v>BS_OTHER_NONCURRENT_FINANCIAL_ASSETS</x:v>
      </x:c>
      <x:c r="B162" s="43" t="str">
        <x:v>H3B_ATTEMPT005</x:v>
      </x:c>
      <x:c r="C162" s="43" t="str">
        <x:v>BASE</x:v>
      </x:c>
      <x:c r="D162" s="43" t="str">
        <x:v>RMB_MILLION</x:v>
      </x:c>
      <x:c r="E162" s="43" t="n">
        <x:v>5462.6191745</x:v>
      </x:c>
      <x:c r="F162" s="43" t="n">
        <x:v>2027</x:v>
      </x:c>
      <x:c r="G162" s="39"/>
      <x:c r="H162" s="39"/>
    </x:row>
    <x:row r="163">
      <x:c r="A163" s="43" t="str">
        <x:v>BS_OTHER_PAYABLES</x:v>
      </x:c>
      <x:c r="B163" s="43" t="str">
        <x:v>H3B_ATTEMPT005</x:v>
      </x:c>
      <x:c r="C163" s="43" t="str">
        <x:v>BASE</x:v>
      </x:c>
      <x:c r="D163" s="43" t="str">
        <x:v>RMB_MILLION</x:v>
      </x:c>
      <x:c r="E163" s="43" t="n">
        <x:v>5505.2909558</x:v>
      </x:c>
      <x:c r="F163" s="43" t="n">
        <x:v>2027</x:v>
      </x:c>
      <x:c r="G163" s="39"/>
      <x:c r="H163" s="39"/>
    </x:row>
    <x:row r="164">
      <x:c r="A164" s="43" t="str">
        <x:v>BS_OTHER_RECEIVABLES</x:v>
      </x:c>
      <x:c r="B164" s="43" t="str">
        <x:v>H3B_ATTEMPT005</x:v>
      </x:c>
      <x:c r="C164" s="43" t="str">
        <x:v>BASE</x:v>
      </x:c>
      <x:c r="D164" s="43" t="str">
        <x:v>RMB_MILLION</x:v>
      </x:c>
      <x:c r="E164" s="43" t="n">
        <x:v>3641.59203362</x:v>
      </x:c>
      <x:c r="F164" s="43" t="n">
        <x:v>2027</x:v>
      </x:c>
      <x:c r="G164" s="39"/>
      <x:c r="H164" s="39"/>
    </x:row>
    <x:row r="165">
      <x:c r="A165" s="43" t="str">
        <x:v>BS_OTHER_RESERVES</x:v>
      </x:c>
      <x:c r="B165" s="43" t="str">
        <x:v>H3B_ATTEMPT005</x:v>
      </x:c>
      <x:c r="C165" s="43" t="str">
        <x:v>BASE</x:v>
      </x:c>
      <x:c r="D165" s="43" t="str">
        <x:v>RMB_MILLION</x:v>
      </x:c>
      <x:c r="E165" s="43" t="n">
        <x:v>11196.537</x:v>
      </x:c>
      <x:c r="F165" s="43" t="n">
        <x:v>2027</x:v>
      </x:c>
      <x:c r="G165" s="39"/>
      <x:c r="H165" s="39"/>
    </x:row>
    <x:row r="166">
      <x:c r="A166" s="43" t="str">
        <x:v>BS_OTHER_TAXES_PAYABLE</x:v>
      </x:c>
      <x:c r="B166" s="43" t="str">
        <x:v>H3B_ATTEMPT005</x:v>
      </x:c>
      <x:c r="C166" s="43" t="str">
        <x:v>BASE</x:v>
      </x:c>
      <x:c r="D166" s="43" t="str">
        <x:v>RMB_MILLION</x:v>
      </x:c>
      <x:c r="E166" s="43" t="n">
        <x:v>3057.53978943</x:v>
      </x:c>
      <x:c r="F166" s="43" t="n">
        <x:v>2027</x:v>
      </x:c>
      <x:c r="G166" s="39"/>
      <x:c r="H166" s="39"/>
    </x:row>
    <x:row r="167">
      <x:c r="A167" s="43" t="str">
        <x:v>BS_PARENT_EQUITY</x:v>
      </x:c>
      <x:c r="B167" s="43" t="str">
        <x:v>H3B_ATTEMPT005</x:v>
      </x:c>
      <x:c r="C167" s="43" t="str">
        <x:v>BASE</x:v>
      </x:c>
      <x:c r="D167" s="43" t="str">
        <x:v>RMB_MILLION</x:v>
      </x:c>
      <x:c r="E167" s="43" t="n">
        <x:v>250321.99398502</x:v>
      </x:c>
      <x:c r="F167" s="43" t="n">
        <x:v>2027</x:v>
      </x:c>
      <x:c r="G167" s="39"/>
      <x:c r="H167" s="39"/>
    </x:row>
    <x:row r="168">
      <x:c r="A168" s="43" t="str">
        <x:v>BS_PPE</x:v>
      </x:c>
      <x:c r="B168" s="43" t="str">
        <x:v>H3B_ATTEMPT005</x:v>
      </x:c>
      <x:c r="C168" s="43" t="str">
        <x:v>BASE</x:v>
      </x:c>
      <x:c r="D168" s="43" t="str">
        <x:v>RMB_MILLION</x:v>
      </x:c>
      <x:c r="E168" s="43" t="n">
        <x:v>46664.561564</x:v>
      </x:c>
      <x:c r="F168" s="43" t="n">
        <x:v>2027</x:v>
      </x:c>
      <x:c r="G168" s="39"/>
      <x:c r="H168" s="39"/>
    </x:row>
    <x:row r="169">
      <x:c r="A169" s="43" t="str">
        <x:v>BS_PREPAYMENTS</x:v>
      </x:c>
      <x:c r="B169" s="43" t="str">
        <x:v>H3B_ATTEMPT005</x:v>
      </x:c>
      <x:c r="C169" s="43" t="str">
        <x:v>BASE</x:v>
      </x:c>
      <x:c r="D169" s="43" t="str">
        <x:v>RMB_MILLION</x:v>
      </x:c>
      <x:c r="E169" s="43" t="n">
        <x:v>3409.55601934</x:v>
      </x:c>
      <x:c r="F169" s="43" t="n">
        <x:v>2027</x:v>
      </x:c>
      <x:c r="G169" s="39"/>
      <x:c r="H169" s="39"/>
    </x:row>
    <x:row r="170">
      <x:c r="A170" s="43" t="str">
        <x:v>BS_RECEIVABLES_FINANCING</x:v>
      </x:c>
      <x:c r="B170" s="43" t="str">
        <x:v>H3B_ATTEMPT005</x:v>
      </x:c>
      <x:c r="C170" s="43" t="str">
        <x:v>BASE</x:v>
      </x:c>
      <x:c r="D170" s="43" t="str">
        <x:v>RMB_MILLION</x:v>
      </x:c>
      <x:c r="E170" s="43" t="n">
        <x:v>17046.50634625</x:v>
      </x:c>
      <x:c r="F170" s="43" t="n">
        <x:v>2027</x:v>
      </x:c>
      <x:c r="G170" s="39"/>
      <x:c r="H170" s="39"/>
    </x:row>
    <x:row r="171">
      <x:c r="A171" s="43" t="str">
        <x:v>BS_RESTRICTED_CASH</x:v>
      </x:c>
      <x:c r="B171" s="43" t="str">
        <x:v>H3B_ATTEMPT005</x:v>
      </x:c>
      <x:c r="C171" s="43" t="str">
        <x:v>BASE</x:v>
      </x:c>
      <x:c r="D171" s="43" t="str">
        <x:v>RMB_MILLION</x:v>
      </x:c>
      <x:c r="E171" s="43" t="n">
        <x:v>5382.10353699</x:v>
      </x:c>
      <x:c r="F171" s="43" t="n">
        <x:v>2027</x:v>
      </x:c>
      <x:c r="G171" s="39"/>
      <x:c r="H171" s="39"/>
    </x:row>
    <x:row r="172">
      <x:c r="A172" s="43" t="str">
        <x:v>BS_RETAINED_EARNINGS</x:v>
      </x:c>
      <x:c r="B172" s="43" t="str">
        <x:v>H3B_ATTEMPT005</x:v>
      </x:c>
      <x:c r="C172" s="43" t="str">
        <x:v>BASE</x:v>
      </x:c>
      <x:c r="D172" s="43" t="str">
        <x:v>RMB_MILLION</x:v>
      </x:c>
      <x:c r="E172" s="43" t="n">
        <x:v>194328.70898502</x:v>
      </x:c>
      <x:c r="F172" s="43" t="n">
        <x:v>2027</x:v>
      </x:c>
      <x:c r="G172" s="39"/>
      <x:c r="H172" s="39"/>
    </x:row>
    <x:row r="173">
      <x:c r="A173" s="43" t="str">
        <x:v>BS_SHARE_CAPITAL</x:v>
      </x:c>
      <x:c r="B173" s="43" t="str">
        <x:v>H3B_ATTEMPT005</x:v>
      </x:c>
      <x:c r="C173" s="43" t="str">
        <x:v>BASE</x:v>
      </x:c>
      <x:c r="D173" s="43" t="str">
        <x:v>RMB_MILLION</x:v>
      </x:c>
      <x:c r="E173" s="43" t="n">
        <x:v>7597.145</x:v>
      </x:c>
      <x:c r="F173" s="43" t="n">
        <x:v>2027</x:v>
      </x:c>
      <x:c r="G173" s="39"/>
      <x:c r="H173" s="39"/>
    </x:row>
    <x:row r="174">
      <x:c r="A174" s="43" t="str">
        <x:v>BS_SHORT_TERM_BORROWING</x:v>
      </x:c>
      <x:c r="B174" s="43" t="str">
        <x:v>H3B_ATTEMPT005</x:v>
      </x:c>
      <x:c r="C174" s="43" t="str">
        <x:v>BASE</x:v>
      </x:c>
      <x:c r="D174" s="43" t="str">
        <x:v>RMB_MILLION</x:v>
      </x:c>
      <x:c r="E174" s="43" t="n">
        <x:v>50110.60945126</x:v>
      </x:c>
      <x:c r="F174" s="43" t="n">
        <x:v>2027</x:v>
      </x:c>
      <x:c r="G174" s="39"/>
      <x:c r="H174" s="39"/>
    </x:row>
    <x:row r="175">
      <x:c r="A175" s="43" t="str">
        <x:v>BS_TAXES_PAYABLE</x:v>
      </x:c>
      <x:c r="B175" s="43" t="str">
        <x:v>H3B_ATTEMPT005</x:v>
      </x:c>
      <x:c r="C175" s="43" t="str">
        <x:v>BASE</x:v>
      </x:c>
      <x:c r="D175" s="43" t="str">
        <x:v>RMB_MILLION</x:v>
      </x:c>
      <x:c r="E175" s="43" t="n">
        <x:v>8176.76223525</x:v>
      </x:c>
      <x:c r="F175" s="43" t="n">
        <x:v>2027</x:v>
      </x:c>
      <x:c r="G175" s="39"/>
      <x:c r="H175" s="39"/>
    </x:row>
    <x:row r="176">
      <x:c r="A176" s="43" t="str">
        <x:v>BS_TERM_DEPOSITS</x:v>
      </x:c>
      <x:c r="B176" s="43" t="str">
        <x:v>H3B_ATTEMPT005</x:v>
      </x:c>
      <x:c r="C176" s="43" t="str">
        <x:v>BASE</x:v>
      </x:c>
      <x:c r="D176" s="43" t="str">
        <x:v>RMB_MILLION</x:v>
      </x:c>
      <x:c r="E176" s="43" t="n">
        <x:v>13630.74136416</x:v>
      </x:c>
      <x:c r="F176" s="43" t="n">
        <x:v>2027</x:v>
      </x:c>
      <x:c r="G176" s="39"/>
      <x:c r="H176" s="39"/>
    </x:row>
    <x:row r="177">
      <x:c r="A177" s="43" t="str">
        <x:v>BS_TOTAL_ASSETS</x:v>
      </x:c>
      <x:c r="B177" s="43" t="str">
        <x:v>H3B_ATTEMPT005</x:v>
      </x:c>
      <x:c r="C177" s="43" t="str">
        <x:v>BASE</x:v>
      </x:c>
      <x:c r="D177" s="43" t="str">
        <x:v>RMB_MILLION</x:v>
      </x:c>
      <x:c r="E177" s="43" t="n">
        <x:v>673410.20154296</x:v>
      </x:c>
      <x:c r="F177" s="43" t="n">
        <x:v>2027</x:v>
      </x:c>
      <x:c r="G177" s="39"/>
      <x:c r="H177" s="39"/>
    </x:row>
    <x:row r="178">
      <x:c r="A178" s="43" t="str">
        <x:v>BS_TOTAL_CURRENT_ASSETS</x:v>
      </x:c>
      <x:c r="B178" s="43" t="str">
        <x:v>H3B_ATTEMPT005</x:v>
      </x:c>
      <x:c r="C178" s="43" t="str">
        <x:v>BASE</x:v>
      </x:c>
      <x:c r="D178" s="43" t="str">
        <x:v>RMB_MILLION</x:v>
      </x:c>
      <x:c r="E178" s="43" t="n">
        <x:v>455882.43774855</x:v>
      </x:c>
      <x:c r="F178" s="43" t="n">
        <x:v>2027</x:v>
      </x:c>
      <x:c r="G178" s="39"/>
      <x:c r="H178" s="39"/>
    </x:row>
    <x:row r="179">
      <x:c r="A179" s="43" t="str">
        <x:v>BS_TOTAL_CURRENT_ASSETS_OTHER_IMMATERIAL_COMPONENTS</x:v>
      </x:c>
      <x:c r="B179" s="43" t="str">
        <x:v>H3B_ATTEMPT005</x:v>
      </x:c>
      <x:c r="C179" s="43" t="str">
        <x:v>BASE</x:v>
      </x:c>
      <x:c r="D179" s="43" t="str">
        <x:v>RMB_MILLION</x:v>
      </x:c>
      <x:c r="E179" s="43" t="n">
        <x:v>0</x:v>
      </x:c>
      <x:c r="F179" s="43" t="n">
        <x:v>2027</x:v>
      </x:c>
      <x:c r="G179" s="39"/>
      <x:c r="H179" s="39"/>
    </x:row>
    <x:row r="180">
      <x:c r="A180" s="43" t="str">
        <x:v>BS_TOTAL_CURRENT_LIABILITIES</x:v>
      </x:c>
      <x:c r="B180" s="43" t="str">
        <x:v>H3B_ATTEMPT005</x:v>
      </x:c>
      <x:c r="C180" s="43" t="str">
        <x:v>BASE</x:v>
      </x:c>
      <x:c r="D180" s="43" t="str">
        <x:v>RMB_MILLION</x:v>
      </x:c>
      <x:c r="E180" s="43" t="n">
        <x:v>368267.24946235</x:v>
      </x:c>
      <x:c r="F180" s="43" t="n">
        <x:v>2027</x:v>
      </x:c>
      <x:c r="G180" s="39"/>
      <x:c r="H180" s="39"/>
    </x:row>
    <x:row r="181">
      <x:c r="A181" s="43" t="str">
        <x:v>BS_TOTAL_CURRENT_LIABILITIES_OTHER_IMMATERIAL_COMPONENTS</x:v>
      </x:c>
      <x:c r="B181" s="43" t="str">
        <x:v>H3B_ATTEMPT005</x:v>
      </x:c>
      <x:c r="C181" s="43" t="str">
        <x:v>BASE</x:v>
      </x:c>
      <x:c r="D181" s="43" t="str">
        <x:v>RMB_MILLION</x:v>
      </x:c>
      <x:c r="E181" s="43" t="n">
        <x:v>0</x:v>
      </x:c>
      <x:c r="F181" s="43" t="n">
        <x:v>2027</x:v>
      </x:c>
      <x:c r="G181" s="39"/>
      <x:c r="H181" s="39"/>
    </x:row>
    <x:row r="182">
      <x:c r="A182" s="43" t="str">
        <x:v>BS_TOTAL_EQUITY</x:v>
      </x:c>
      <x:c r="B182" s="43" t="str">
        <x:v>H3B_ATTEMPT005</x:v>
      </x:c>
      <x:c r="C182" s="43" t="str">
        <x:v>BASE</x:v>
      </x:c>
      <x:c r="D182" s="43" t="str">
        <x:v>RMB_MILLION</x:v>
      </x:c>
      <x:c r="E182" s="43" t="n">
        <x:v>264681.4625498</x:v>
      </x:c>
      <x:c r="F182" s="43" t="n">
        <x:v>2027</x:v>
      </x:c>
      <x:c r="G182" s="39"/>
      <x:c r="H182" s="39"/>
    </x:row>
    <x:row r="183">
      <x:c r="A183" s="43" t="str">
        <x:v>BS_TOTAL_LIABILITIES</x:v>
      </x:c>
      <x:c r="B183" s="43" t="str">
        <x:v>H3B_ATTEMPT005</x:v>
      </x:c>
      <x:c r="C183" s="43" t="str">
        <x:v>BASE</x:v>
      </x:c>
      <x:c r="D183" s="43" t="str">
        <x:v>RMB_MILLION</x:v>
      </x:c>
      <x:c r="E183" s="43" t="n">
        <x:v>408728.73899316</x:v>
      </x:c>
      <x:c r="F183" s="43" t="n">
        <x:v>2027</x:v>
      </x:c>
      <x:c r="G183" s="39"/>
      <x:c r="H183" s="39"/>
    </x:row>
    <x:row r="184">
      <x:c r="A184" s="43" t="str">
        <x:v>BS_TOTAL_NONCURRENT_ASSETS</x:v>
      </x:c>
      <x:c r="B184" s="43" t="str">
        <x:v>H3B_ATTEMPT005</x:v>
      </x:c>
      <x:c r="C184" s="43" t="str">
        <x:v>BASE</x:v>
      </x:c>
      <x:c r="D184" s="43" t="str">
        <x:v>RMB_MILLION</x:v>
      </x:c>
      <x:c r="E184" s="43" t="n">
        <x:v>217527.76379441</x:v>
      </x:c>
      <x:c r="F184" s="43" t="n">
        <x:v>2027</x:v>
      </x:c>
      <x:c r="G184" s="39"/>
      <x:c r="H184" s="39"/>
    </x:row>
    <x:row r="185">
      <x:c r="A185" s="43" t="str">
        <x:v>BS_TOTAL_NONCURRENT_ASSETS_OTHER_IMMATERIAL_COMPONENTS</x:v>
      </x:c>
      <x:c r="B185" s="43" t="str">
        <x:v>H3B_ATTEMPT005</x:v>
      </x:c>
      <x:c r="C185" s="43" t="str">
        <x:v>BASE</x:v>
      </x:c>
      <x:c r="D185" s="43" t="str">
        <x:v>RMB_MILLION</x:v>
      </x:c>
      <x:c r="E185" s="43" t="n">
        <x:v>89772.41458124</x:v>
      </x:c>
      <x:c r="F185" s="43" t="n">
        <x:v>2027</x:v>
      </x:c>
      <x:c r="G185" s="39"/>
      <x:c r="H185" s="39"/>
    </x:row>
    <x:row r="186">
      <x:c r="A186" s="43" t="str">
        <x:v>BS_TOTAL_NONCURRENT_LIABILITIES</x:v>
      </x:c>
      <x:c r="B186" s="43" t="str">
        <x:v>H3B_ATTEMPT005</x:v>
      </x:c>
      <x:c r="C186" s="43" t="str">
        <x:v>BASE</x:v>
      </x:c>
      <x:c r="D186" s="43" t="str">
        <x:v>RMB_MILLION</x:v>
      </x:c>
      <x:c r="E186" s="43" t="n">
        <x:v>40461.48953081</x:v>
      </x:c>
      <x:c r="F186" s="43" t="n">
        <x:v>2027</x:v>
      </x:c>
      <x:c r="G186" s="39"/>
      <x:c r="H186" s="39"/>
    </x:row>
    <x:row r="187">
      <x:c r="A187" s="43" t="str">
        <x:v>BS_TOTAL_NONCURRENT_LIABILITIES_OTHER_IMMATERIAL_COMPONENTS</x:v>
      </x:c>
      <x:c r="B187" s="43" t="str">
        <x:v>H3B_ATTEMPT005</x:v>
      </x:c>
      <x:c r="C187" s="43" t="str">
        <x:v>BASE</x:v>
      </x:c>
      <x:c r="D187" s="43" t="str">
        <x:v>RMB_MILLION</x:v>
      </x:c>
      <x:c r="E187" s="43" t="n">
        <x:v>18632.59501104</x:v>
      </x:c>
      <x:c r="F187" s="43" t="n">
        <x:v>2027</x:v>
      </x:c>
      <x:c r="G187" s="39"/>
      <x:c r="H187" s="39"/>
    </x:row>
    <x:row r="188">
      <x:c r="A188" s="43" t="str">
        <x:v>BS_TRADING_FINANCIAL_ASSETS</x:v>
      </x:c>
      <x:c r="B188" s="43" t="str">
        <x:v>H3B_ATTEMPT005</x:v>
      </x:c>
      <x:c r="C188" s="43" t="str">
        <x:v>BASE</x:v>
      </x:c>
      <x:c r="D188" s="43" t="str">
        <x:v>RMB_MILLION</x:v>
      </x:c>
      <x:c r="E188" s="43" t="n">
        <x:v>811.1792973</x:v>
      </x:c>
      <x:c r="F188" s="43" t="n">
        <x:v>2027</x:v>
      </x:c>
      <x:c r="G188" s="39"/>
      <x:c r="H188" s="39"/>
    </x:row>
    <x:row r="189">
      <x:c r="A189" s="43" t="str">
        <x:v>BS_TRADING_FINANCIAL_LIABILITIES</x:v>
      </x:c>
      <x:c r="B189" s="43" t="str">
        <x:v>H3B_ATTEMPT005</x:v>
      </x:c>
      <x:c r="C189" s="43" t="str">
        <x:v>BASE</x:v>
      </x:c>
      <x:c r="D189" s="43" t="str">
        <x:v>RMB_MILLION</x:v>
      </x:c>
      <x:c r="E189" s="43" t="n">
        <x:v>806.29658726</x:v>
      </x:c>
      <x:c r="F189" s="43" t="n">
        <x:v>2027</x:v>
      </x:c>
      <x:c r="G189" s="39"/>
      <x:c r="H189" s="39"/>
    </x:row>
    <x:row r="190">
      <x:c r="A190" s="43" t="str">
        <x:v>BS_TREASURY_SHARES</x:v>
      </x:c>
      <x:c r="B190" s="43" t="str">
        <x:v>H3B_ATTEMPT005</x:v>
      </x:c>
      <x:c r="C190" s="43" t="str">
        <x:v>BASE</x:v>
      </x:c>
      <x:c r="D190" s="43" t="str">
        <x:v>RMB_MILLION</x:v>
      </x:c>
      <x:c r="E190" s="43" t="n">
        <x:v>-8151.117</x:v>
      </x:c>
      <x:c r="F190" s="43" t="n">
        <x:v>2027</x:v>
      </x:c>
      <x:c r="G190" s="39"/>
      <x:c r="H190" s="39"/>
    </x:row>
    <x:row r="191">
      <x:c r="A191" s="43" t="str">
        <x:v>BS_AP</x:v>
      </x:c>
      <x:c r="B191" s="43" t="str">
        <x:v>H3B_ATTEMPT005</x:v>
      </x:c>
      <x:c r="C191" s="43" t="str">
        <x:v>BASE</x:v>
      </x:c>
      <x:c r="D191" s="43" t="str">
        <x:v>RMB_MILLION</x:v>
      </x:c>
      <x:c r="E191" s="43" t="n">
        <x:v>109026.0099186</x:v>
      </x:c>
      <x:c r="F191" s="43" t="n">
        <x:v>2028</x:v>
      </x:c>
      <x:c r="G191" s="39"/>
      <x:c r="H191" s="39"/>
    </x:row>
    <x:row r="192">
      <x:c r="A192" s="43" t="str">
        <x:v>BS_AR</x:v>
      </x:c>
      <x:c r="B192" s="43" t="str">
        <x:v>H3B_ATTEMPT005</x:v>
      </x:c>
      <x:c r="C192" s="43" t="str">
        <x:v>BASE</x:v>
      </x:c>
      <x:c r="D192" s="43" t="str">
        <x:v>RMB_MILLION</x:v>
      </x:c>
      <x:c r="E192" s="43" t="n">
        <x:v>49466.53711289</x:v>
      </x:c>
      <x:c r="F192" s="43" t="n">
        <x:v>2028</x:v>
      </x:c>
      <x:c r="G192" s="39"/>
      <x:c r="H192" s="39"/>
    </x:row>
    <x:row r="193">
      <x:c r="A193" s="43" t="str">
        <x:v>BS_CAPITAL_RESERVE</x:v>
      </x:c>
      <x:c r="B193" s="43" t="str">
        <x:v>H3B_ATTEMPT005</x:v>
      </x:c>
      <x:c r="C193" s="43" t="str">
        <x:v>BASE</x:v>
      </x:c>
      <x:c r="D193" s="43" t="str">
        <x:v>RMB_MILLION</x:v>
      </x:c>
      <x:c r="E193" s="43" t="n">
        <x:v>45350.72</x:v>
      </x:c>
      <x:c r="F193" s="43" t="n">
        <x:v>2028</x:v>
      </x:c>
      <x:c r="G193" s="39"/>
      <x:c r="H193" s="39"/>
    </x:row>
    <x:row r="194">
      <x:c r="A194" s="43" t="str">
        <x:v>BS_CASH</x:v>
      </x:c>
      <x:c r="B194" s="43" t="str">
        <x:v>H3B_ATTEMPT005</x:v>
      </x:c>
      <x:c r="C194" s="43" t="str">
        <x:v>BASE</x:v>
      </x:c>
      <x:c r="D194" s="43" t="str">
        <x:v>RMB_MILLION</x:v>
      </x:c>
      <x:c r="E194" s="43" t="n">
        <x:v>123986.58012872</x:v>
      </x:c>
      <x:c r="F194" s="43" t="n">
        <x:v>2028</x:v>
      </x:c>
      <x:c r="G194" s="39"/>
      <x:c r="H194" s="39"/>
    </x:row>
    <x:row r="195">
      <x:c r="A195" s="43" t="str">
        <x:v>BS_CASH_TAXONOMY_OTHER</x:v>
      </x:c>
      <x:c r="B195" s="43" t="str">
        <x:v>H3B_ATTEMPT005</x:v>
      </x:c>
      <x:c r="C195" s="43" t="str">
        <x:v>BASE</x:v>
      </x:c>
      <x:c r="D195" s="43" t="str">
        <x:v>RMB_MILLION</x:v>
      </x:c>
      <x:c r="E195" s="43" t="n">
        <x:v>98.99533867</x:v>
      </x:c>
      <x:c r="F195" s="43" t="n">
        <x:v>2028</x:v>
      </x:c>
      <x:c r="G195" s="39"/>
      <x:c r="H195" s="39"/>
    </x:row>
    <x:row r="196">
      <x:c r="A196" s="43" t="str">
        <x:v>BS_CIP</x:v>
      </x:c>
      <x:c r="B196" s="43" t="str">
        <x:v>H3B_ATTEMPT005</x:v>
      </x:c>
      <x:c r="C196" s="43" t="str">
        <x:v>BASE</x:v>
      </x:c>
      <x:c r="D196" s="43" t="str">
        <x:v>RMB_MILLION</x:v>
      </x:c>
      <x:c r="E196" s="43" t="n">
        <x:v>6502.86981101</x:v>
      </x:c>
      <x:c r="F196" s="43" t="n">
        <x:v>2028</x:v>
      </x:c>
      <x:c r="G196" s="39"/>
      <x:c r="H196" s="39"/>
    </x:row>
    <x:row r="197">
      <x:c r="A197" s="43" t="str">
        <x:v>BS_CONTRACT_ASSETS</x:v>
      </x:c>
      <x:c r="B197" s="43" t="str">
        <x:v>H3B_ATTEMPT005</x:v>
      </x:c>
      <x:c r="C197" s="43" t="str">
        <x:v>BASE</x:v>
      </x:c>
      <x:c r="D197" s="43" t="str">
        <x:v>RMB_MILLION</x:v>
      </x:c>
      <x:c r="E197" s="43" t="n">
        <x:v>5260.78087334</x:v>
      </x:c>
      <x:c r="F197" s="43" t="n">
        <x:v>2028</x:v>
      </x:c>
      <x:c r="G197" s="39"/>
      <x:c r="H197" s="39"/>
    </x:row>
    <x:row r="198">
      <x:c r="A198" s="43" t="str">
        <x:v>BS_CONTRACT_LIABILITIES</x:v>
      </x:c>
      <x:c r="B198" s="43" t="str">
        <x:v>H3B_ATTEMPT005</x:v>
      </x:c>
      <x:c r="C198" s="43" t="str">
        <x:v>BASE</x:v>
      </x:c>
      <x:c r="D198" s="43" t="str">
        <x:v>RMB_MILLION</x:v>
      </x:c>
      <x:c r="E198" s="43" t="n">
        <x:v>57917.33239088</x:v>
      </x:c>
      <x:c r="F198" s="43" t="n">
        <x:v>2028</x:v>
      </x:c>
      <x:c r="G198" s="39"/>
      <x:c r="H198" s="39"/>
    </x:row>
    <x:row r="199">
      <x:c r="A199" s="43" t="str">
        <x:v>BS_CURRENT_PORTION_DEBT</x:v>
      </x:c>
      <x:c r="B199" s="43" t="str">
        <x:v>H3B_ATTEMPT005</x:v>
      </x:c>
      <x:c r="C199" s="43" t="str">
        <x:v>BASE</x:v>
      </x:c>
      <x:c r="D199" s="43" t="str">
        <x:v>RMB_MILLION</x:v>
      </x:c>
      <x:c r="E199" s="43" t="n">
        <x:v>0</x:v>
      </x:c>
      <x:c r="F199" s="43" t="n">
        <x:v>2028</x:v>
      </x:c>
      <x:c r="G199" s="39"/>
      <x:c r="H199" s="39"/>
    </x:row>
    <x:row r="200">
      <x:c r="A200" s="43" t="str">
        <x:v>BS_CURRENT_PORTION_NONCURRENT_ASSETS</x:v>
      </x:c>
      <x:c r="B200" s="43" t="str">
        <x:v>H3B_ATTEMPT005</x:v>
      </x:c>
      <x:c r="C200" s="43" t="str">
        <x:v>BASE</x:v>
      </x:c>
      <x:c r="D200" s="43" t="str">
        <x:v>RMB_MILLION</x:v>
      </x:c>
      <x:c r="E200" s="43" t="n">
        <x:v>155677.63619096</x:v>
      </x:c>
      <x:c r="F200" s="43" t="n">
        <x:v>2028</x:v>
      </x:c>
      <x:c r="G200" s="39"/>
      <x:c r="H200" s="39"/>
    </x:row>
    <x:row r="201">
      <x:c r="A201" s="43" t="str">
        <x:v>BS_CURRENT_PORTION_NONCURRENT_ASSETS_FINANCE</x:v>
      </x:c>
      <x:c r="B201" s="43" t="str">
        <x:v>H3B_ATTEMPT005</x:v>
      </x:c>
      <x:c r="C201" s="43" t="str">
        <x:v>BASE</x:v>
      </x:c>
      <x:c r="D201" s="43" t="str">
        <x:v>RMB_MILLION</x:v>
      </x:c>
      <x:c r="E201" s="43" t="n">
        <x:v>315.10819096</x:v>
      </x:c>
      <x:c r="F201" s="43" t="n">
        <x:v>2028</x:v>
      </x:c>
      <x:c r="G201" s="39"/>
      <x:c r="H201" s="39"/>
    </x:row>
    <x:row r="202">
      <x:c r="A202" s="43" t="str">
        <x:v>BS_CURRENT_PORTION_NONCURRENT_ASSETS_TREASURY</x:v>
      </x:c>
      <x:c r="B202" s="43" t="str">
        <x:v>H3B_ATTEMPT005</x:v>
      </x:c>
      <x:c r="C202" s="43" t="str">
        <x:v>BASE</x:v>
      </x:c>
      <x:c r="D202" s="43" t="str">
        <x:v>RMB_MILLION</x:v>
      </x:c>
      <x:c r="E202" s="43" t="n">
        <x:v>155362.528</x:v>
      </x:c>
      <x:c r="F202" s="43" t="n">
        <x:v>2028</x:v>
      </x:c>
      <x:c r="G202" s="39"/>
      <x:c r="H202" s="39"/>
    </x:row>
    <x:row r="203">
      <x:c r="A203" s="43" t="str">
        <x:v>BS_CUSTOMER_DEPOSITS</x:v>
      </x:c>
      <x:c r="B203" s="43" t="str">
        <x:v>H3B_ATTEMPT005</x:v>
      </x:c>
      <x:c r="C203" s="43" t="str">
        <x:v>BASE</x:v>
      </x:c>
      <x:c r="D203" s="43" t="str">
        <x:v>RMB_MILLION</x:v>
      </x:c>
      <x:c r="E203" s="43" t="n">
        <x:v>165.28596876</x:v>
      </x:c>
      <x:c r="F203" s="43" t="n">
        <x:v>2028</x:v>
      </x:c>
      <x:c r="G203" s="39"/>
      <x:c r="H203" s="39"/>
    </x:row>
    <x:row r="204">
      <x:c r="A204" s="43" t="str">
        <x:v>BS_DERIVATIVE_FINANCIAL_ASSETS</x:v>
      </x:c>
      <x:c r="B204" s="43" t="str">
        <x:v>H3B_ATTEMPT005</x:v>
      </x:c>
      <x:c r="C204" s="43" t="str">
        <x:v>BASE</x:v>
      </x:c>
      <x:c r="D204" s="43" t="str">
        <x:v>RMB_MILLION</x:v>
      </x:c>
      <x:c r="E204" s="43" t="n">
        <x:v>2739.9671092</x:v>
      </x:c>
      <x:c r="F204" s="43" t="n">
        <x:v>2028</x:v>
      </x:c>
      <x:c r="G204" s="39"/>
      <x:c r="H204" s="39"/>
    </x:row>
    <x:row r="205">
      <x:c r="A205" s="43" t="str">
        <x:v>BS_DERIVATIVE_LIABILITIES</x:v>
      </x:c>
      <x:c r="B205" s="43" t="str">
        <x:v>H3B_ATTEMPT005</x:v>
      </x:c>
      <x:c r="C205" s="43" t="str">
        <x:v>BASE</x:v>
      </x:c>
      <x:c r="D205" s="43" t="str">
        <x:v>RMB_MILLION</x:v>
      </x:c>
      <x:c r="E205" s="43" t="n">
        <x:v>1048.77773982</x:v>
      </x:c>
      <x:c r="F205" s="43" t="n">
        <x:v>2028</x:v>
      </x:c>
      <x:c r="G205" s="39"/>
      <x:c r="H205" s="39"/>
    </x:row>
    <x:row r="206">
      <x:c r="A206" s="43" t="str">
        <x:v>BS_EMPLOYEE_COMP</x:v>
      </x:c>
      <x:c r="B206" s="43" t="str">
        <x:v>H3B_ATTEMPT005</x:v>
      </x:c>
      <x:c r="C206" s="43" t="str">
        <x:v>BASE</x:v>
      </x:c>
      <x:c r="D206" s="43" t="str">
        <x:v>RMB_MILLION</x:v>
      </x:c>
      <x:c r="E206" s="43" t="n">
        <x:v>11887.67967276</x:v>
      </x:c>
      <x:c r="F206" s="43" t="n">
        <x:v>2028</x:v>
      </x:c>
      <x:c r="G206" s="39"/>
      <x:c r="H206" s="39"/>
    </x:row>
    <x:row r="207">
      <x:c r="A207" s="43" t="str">
        <x:v>BS_GOODWILL</x:v>
      </x:c>
      <x:c r="B207" s="43" t="str">
        <x:v>H3B_ATTEMPT005</x:v>
      </x:c>
      <x:c r="C207" s="43" t="str">
        <x:v>BASE</x:v>
      </x:c>
      <x:c r="D207" s="43" t="str">
        <x:v>RMB_MILLION</x:v>
      </x:c>
      <x:c r="E207" s="43" t="n">
        <x:v>42220.40210556</x:v>
      </x:c>
      <x:c r="F207" s="43" t="n">
        <x:v>2028</x:v>
      </x:c>
      <x:c r="G207" s="39"/>
      <x:c r="H207" s="39"/>
    </x:row>
    <x:row r="208">
      <x:c r="A208" s="43" t="str">
        <x:v>BS_INCOME_TAX_PAYABLE</x:v>
      </x:c>
      <x:c r="B208" s="43" t="str">
        <x:v>H3B_ATTEMPT005</x:v>
      </x:c>
      <x:c r="C208" s="43" t="str">
        <x:v>BASE</x:v>
      </x:c>
      <x:c r="D208" s="43" t="str">
        <x:v>RMB_MILLION</x:v>
      </x:c>
      <x:c r="E208" s="43" t="n">
        <x:v>5527.88082971</x:v>
      </x:c>
      <x:c r="F208" s="43" t="n">
        <x:v>2028</x:v>
      </x:c>
      <x:c r="G208" s="39"/>
      <x:c r="H208" s="39"/>
    </x:row>
    <x:row r="209">
      <x:c r="A209" s="43" t="str">
        <x:v>BS_INTANGIBLES</x:v>
      </x:c>
      <x:c r="B209" s="43" t="str">
        <x:v>H3B_ATTEMPT005</x:v>
      </x:c>
      <x:c r="C209" s="43" t="str">
        <x:v>BASE</x:v>
      </x:c>
      <x:c r="D209" s="43" t="str">
        <x:v>RMB_MILLION</x:v>
      </x:c>
      <x:c r="E209" s="43" t="n">
        <x:v>27749.70615914</x:v>
      </x:c>
      <x:c r="F209" s="43" t="n">
        <x:v>2028</x:v>
      </x:c>
      <x:c r="G209" s="39"/>
      <x:c r="H209" s="39"/>
    </x:row>
    <x:row r="210">
      <x:c r="A210" s="43" t="str">
        <x:v>BS_INVENTORY</x:v>
      </x:c>
      <x:c r="B210" s="43" t="str">
        <x:v>H3B_ATTEMPT005</x:v>
      </x:c>
      <x:c r="C210" s="43" t="str">
        <x:v>BASE</x:v>
      </x:c>
      <x:c r="D210" s="43" t="str">
        <x:v>RMB_MILLION</x:v>
      </x:c>
      <x:c r="E210" s="43" t="n">
        <x:v>70639.52064605</x:v>
      </x:c>
      <x:c r="F210" s="43" t="n">
        <x:v>2028</x:v>
      </x:c>
      <x:c r="G210" s="39"/>
      <x:c r="H210" s="39"/>
    </x:row>
    <x:row r="211">
      <x:c r="A211" s="43" t="str">
        <x:v>BS_LOANS_ADVANCES_CURRENT</x:v>
      </x:c>
      <x:c r="B211" s="43" t="str">
        <x:v>H3B_ATTEMPT005</x:v>
      </x:c>
      <x:c r="C211" s="43" t="str">
        <x:v>BASE</x:v>
      </x:c>
      <x:c r="D211" s="43" t="str">
        <x:v>RMB_MILLION</x:v>
      </x:c>
      <x:c r="E211" s="43" t="n">
        <x:v>14517.48037462</x:v>
      </x:c>
      <x:c r="F211" s="43" t="n">
        <x:v>2028</x:v>
      </x:c>
      <x:c r="G211" s="39"/>
      <x:c r="H211" s="39"/>
    </x:row>
    <x:row r="212">
      <x:c r="A212" s="43" t="str">
        <x:v>BS_LONG_TERM_BORROWINGS</x:v>
      </x:c>
      <x:c r="B212" s="43" t="str">
        <x:v>H3B_ATTEMPT005</x:v>
      </x:c>
      <x:c r="C212" s="43" t="str">
        <x:v>BASE</x:v>
      </x:c>
      <x:c r="D212" s="43" t="str">
        <x:v>RMB_MILLION</x:v>
      </x:c>
      <x:c r="E212" s="43" t="n">
        <x:v>23200.09882529</x:v>
      </x:c>
      <x:c r="F212" s="43" t="n">
        <x:v>2028</x:v>
      </x:c>
      <x:c r="G212" s="39"/>
      <x:c r="H212" s="39"/>
    </x:row>
    <x:row r="213">
      <x:c r="A213" s="43" t="str">
        <x:v>BS_LONG_TERM_INVESTMENTS</x:v>
      </x:c>
      <x:c r="B213" s="43" t="str">
        <x:v>H3B_ATTEMPT005</x:v>
      </x:c>
      <x:c r="C213" s="43" t="str">
        <x:v>BASE</x:v>
      </x:c>
      <x:c r="D213" s="43" t="str">
        <x:v>RMB_MILLION</x:v>
      </x:c>
      <x:c r="E213" s="43" t="n">
        <x:v>5885.07772273</x:v>
      </x:c>
      <x:c r="F213" s="43" t="n">
        <x:v>2028</x:v>
      </x:c>
      <x:c r="G213" s="39"/>
      <x:c r="H213" s="39"/>
    </x:row>
    <x:row r="214">
      <x:c r="A214" s="43" t="str">
        <x:v>BS_NCI</x:v>
      </x:c>
      <x:c r="B214" s="43" t="str">
        <x:v>H3B_ATTEMPT005</x:v>
      </x:c>
      <x:c r="C214" s="43" t="str">
        <x:v>BASE</x:v>
      </x:c>
      <x:c r="D214" s="43" t="str">
        <x:v>RMB_MILLION</x:v>
      </x:c>
      <x:c r="E214" s="43" t="n">
        <x:v>14988.12387041</x:v>
      </x:c>
      <x:c r="F214" s="43" t="n">
        <x:v>2028</x:v>
      </x:c>
      <x:c r="G214" s="39"/>
      <x:c r="H214" s="39"/>
    </x:row>
    <x:row r="215">
      <x:c r="A215" s="43" t="str">
        <x:v>BS_NOTES_PAYABLE</x:v>
      </x:c>
      <x:c r="B215" s="43" t="str">
        <x:v>H3B_ATTEMPT005</x:v>
      </x:c>
      <x:c r="C215" s="43" t="str">
        <x:v>BASE</x:v>
      </x:c>
      <x:c r="D215" s="43" t="str">
        <x:v>RMB_MILLION</x:v>
      </x:c>
      <x:c r="E215" s="43" t="n">
        <x:v>33426.7867839</x:v>
      </x:c>
      <x:c r="F215" s="43" t="n">
        <x:v>2028</x:v>
      </x:c>
      <x:c r="G215" s="39"/>
      <x:c r="H215" s="39"/>
    </x:row>
    <x:row r="216">
      <x:c r="A216" s="43" t="str">
        <x:v>BS_NOTES_RECEIVABLE</x:v>
      </x:c>
      <x:c r="B216" s="43" t="str">
        <x:v>H3B_ATTEMPT005</x:v>
      </x:c>
      <x:c r="C216" s="43" t="str">
        <x:v>BASE</x:v>
      </x:c>
      <x:c r="D216" s="43" t="str">
        <x:v>RMB_MILLION</x:v>
      </x:c>
      <x:c r="E216" s="43" t="n">
        <x:v>6466.45518822</x:v>
      </x:c>
      <x:c r="F216" s="43" t="n">
        <x:v>2028</x:v>
      </x:c>
      <x:c r="G216" s="39"/>
      <x:c r="H216" s="39"/>
    </x:row>
    <x:row r="217">
      <x:c r="A217" s="43" t="str">
        <x:v>BS_OTHER_CURRENT_ASSETS</x:v>
      </x:c>
      <x:c r="B217" s="43" t="str">
        <x:v>H3B_ATTEMPT005</x:v>
      </x:c>
      <x:c r="C217" s="43" t="str">
        <x:v>BASE</x:v>
      </x:c>
      <x:c r="D217" s="43" t="str">
        <x:v>RMB_MILLION</x:v>
      </x:c>
      <x:c r="E217" s="43" t="n">
        <x:v>30943.87420035</x:v>
      </x:c>
      <x:c r="F217" s="43" t="n">
        <x:v>2028</x:v>
      </x:c>
      <x:c r="G217" s="39"/>
      <x:c r="H217" s="39"/>
    </x:row>
    <x:row r="218">
      <x:c r="A218" s="43" t="str">
        <x:v>BS_OTHER_CURRENT_ASSETS_HEDGE</x:v>
      </x:c>
      <x:c r="B218" s="43" t="str">
        <x:v>H3B_ATTEMPT005</x:v>
      </x:c>
      <x:c r="C218" s="43" t="str">
        <x:v>BASE</x:v>
      </x:c>
      <x:c r="D218" s="43" t="str">
        <x:v>RMB_MILLION</x:v>
      </x:c>
      <x:c r="E218" s="43" t="n">
        <x:v>3945.60937997</x:v>
      </x:c>
      <x:c r="F218" s="43" t="n">
        <x:v>2028</x:v>
      </x:c>
      <x:c r="G218" s="39"/>
      <x:c r="H218" s="39"/>
    </x:row>
    <x:row r="219">
      <x:c r="A219" s="43" t="str">
        <x:v>BS_OTHER_CURRENT_ASSETS_OPERATING</x:v>
      </x:c>
      <x:c r="B219" s="43" t="str">
        <x:v>H3B_ATTEMPT005</x:v>
      </x:c>
      <x:c r="C219" s="43" t="str">
        <x:v>BASE</x:v>
      </x:c>
      <x:c r="D219" s="43" t="str">
        <x:v>RMB_MILLION</x:v>
      </x:c>
      <x:c r="E219" s="43" t="n">
        <x:v>25571.13082038</x:v>
      </x:c>
      <x:c r="F219" s="43" t="n">
        <x:v>2028</x:v>
      </x:c>
      <x:c r="G219" s="39"/>
      <x:c r="H219" s="39"/>
    </x:row>
    <x:row r="220">
      <x:c r="A220" s="43" t="str">
        <x:v>BS_OTHER_CURRENT_ASSETS_TREASURY</x:v>
      </x:c>
      <x:c r="B220" s="43" t="str">
        <x:v>H3B_ATTEMPT005</x:v>
      </x:c>
      <x:c r="C220" s="43" t="str">
        <x:v>BASE</x:v>
      </x:c>
      <x:c r="D220" s="43" t="str">
        <x:v>RMB_MILLION</x:v>
      </x:c>
      <x:c r="E220" s="43" t="n">
        <x:v>1427.134</x:v>
      </x:c>
      <x:c r="F220" s="43" t="n">
        <x:v>2028</x:v>
      </x:c>
      <x:c r="G220" s="39"/>
      <x:c r="H220" s="39"/>
    </x:row>
    <x:row r="221">
      <x:c r="A221" s="43" t="str">
        <x:v>BS_OTHER_CURRENT_LIABILITIES</x:v>
      </x:c>
      <x:c r="B221" s="43" t="str">
        <x:v>H3B_ATTEMPT005</x:v>
      </x:c>
      <x:c r="C221" s="43" t="str">
        <x:v>BASE</x:v>
      </x:c>
      <x:c r="D221" s="43" t="str">
        <x:v>RMB_MILLION</x:v>
      </x:c>
      <x:c r="E221" s="43" t="n">
        <x:v>114049.19055744</x:v>
      </x:c>
      <x:c r="F221" s="43" t="n">
        <x:v>2028</x:v>
      </x:c>
      <x:c r="G221" s="39"/>
      <x:c r="H221" s="39"/>
    </x:row>
    <x:row r="222">
      <x:c r="A222" s="43" t="str">
        <x:v>BS_OTHER_CURRENT_LIABILITIES_HEDGE</x:v>
      </x:c>
      <x:c r="B222" s="43" t="str">
        <x:v>H3B_ATTEMPT005</x:v>
      </x:c>
      <x:c r="C222" s="43" t="str">
        <x:v>BASE</x:v>
      </x:c>
      <x:c r="D222" s="43" t="str">
        <x:v>RMB_MILLION</x:v>
      </x:c>
      <x:c r="E222" s="43" t="n">
        <x:v>26.47336223</x:v>
      </x:c>
      <x:c r="F222" s="43" t="n">
        <x:v>2028</x:v>
      </x:c>
      <x:c r="G222" s="39"/>
      <x:c r="H222" s="39"/>
    </x:row>
    <x:row r="223">
      <x:c r="A223" s="43" t="str">
        <x:v>BS_OTHER_CURRENT_LIABILITIES_OPERATING</x:v>
      </x:c>
      <x:c r="B223" s="43" t="str">
        <x:v>H3B_ATTEMPT005</x:v>
      </x:c>
      <x:c r="C223" s="43" t="str">
        <x:v>BASE</x:v>
      </x:c>
      <x:c r="D223" s="43" t="str">
        <x:v>RMB_MILLION</x:v>
      </x:c>
      <x:c r="E223" s="43" t="n">
        <x:v>114022.71719521</x:v>
      </x:c>
      <x:c r="F223" s="43" t="n">
        <x:v>2028</x:v>
      </x:c>
      <x:c r="G223" s="39"/>
      <x:c r="H223" s="39"/>
    </x:row>
    <x:row r="224">
      <x:c r="A224" s="43" t="str">
        <x:v>BS_OTHER_NONCURRENT_FINANCIAL_ASSETS</x:v>
      </x:c>
      <x:c r="B224" s="43" t="str">
        <x:v>H3B_ATTEMPT005</x:v>
      </x:c>
      <x:c r="C224" s="43" t="str">
        <x:v>BASE</x:v>
      </x:c>
      <x:c r="D224" s="43" t="str">
        <x:v>RMB_MILLION</x:v>
      </x:c>
      <x:c r="E224" s="43" t="n">
        <x:v>5898.69030587</x:v>
      </x:c>
      <x:c r="F224" s="43" t="n">
        <x:v>2028</x:v>
      </x:c>
      <x:c r="G224" s="39"/>
      <x:c r="H224" s="39"/>
    </x:row>
    <x:row r="225">
      <x:c r="A225" s="43" t="str">
        <x:v>BS_OTHER_PAYABLES</x:v>
      </x:c>
      <x:c r="B225" s="43" t="str">
        <x:v>H3B_ATTEMPT005</x:v>
      </x:c>
      <x:c r="C225" s="43" t="str">
        <x:v>BASE</x:v>
      </x:c>
      <x:c r="D225" s="43" t="str">
        <x:v>RMB_MILLION</x:v>
      </x:c>
      <x:c r="E225" s="43" t="n">
        <x:v>5944.76849925</x:v>
      </x:c>
      <x:c r="F225" s="43" t="n">
        <x:v>2028</x:v>
      </x:c>
      <x:c r="G225" s="39"/>
      <x:c r="H225" s="39"/>
    </x:row>
    <x:row r="226">
      <x:c r="A226" s="43" t="str">
        <x:v>BS_OTHER_RECEIVABLES</x:v>
      </x:c>
      <x:c r="B226" s="43" t="str">
        <x:v>H3B_ATTEMPT005</x:v>
      </x:c>
      <x:c r="C226" s="43" t="str">
        <x:v>BASE</x:v>
      </x:c>
      <x:c r="D226" s="43" t="str">
        <x:v>RMB_MILLION</x:v>
      </x:c>
      <x:c r="E226" s="43" t="n">
        <x:v>3932.29382105</x:v>
      </x:c>
      <x:c r="F226" s="43" t="n">
        <x:v>2028</x:v>
      </x:c>
      <x:c r="G226" s="39"/>
      <x:c r="H226" s="39"/>
    </x:row>
    <x:row r="227">
      <x:c r="A227" s="43" t="str">
        <x:v>BS_OTHER_RESERVES</x:v>
      </x:c>
      <x:c r="B227" s="43" t="str">
        <x:v>H3B_ATTEMPT005</x:v>
      </x:c>
      <x:c r="C227" s="43" t="str">
        <x:v>BASE</x:v>
      </x:c>
      <x:c r="D227" s="43" t="str">
        <x:v>RMB_MILLION</x:v>
      </x:c>
      <x:c r="E227" s="43" t="n">
        <x:v>11196.537</x:v>
      </x:c>
      <x:c r="F227" s="43" t="n">
        <x:v>2028</x:v>
      </x:c>
      <x:c r="G227" s="39"/>
      <x:c r="H227" s="39"/>
    </x:row>
    <x:row r="228">
      <x:c r="A228" s="43" t="str">
        <x:v>BS_OTHER_TAXES_PAYABLE</x:v>
      </x:c>
      <x:c r="B228" s="43" t="str">
        <x:v>H3B_ATTEMPT005</x:v>
      </x:c>
      <x:c r="C228" s="43" t="str">
        <x:v>BASE</x:v>
      </x:c>
      <x:c r="D228" s="43" t="str">
        <x:v>RMB_MILLION</x:v>
      </x:c>
      <x:c r="E228" s="43" t="n">
        <x:v>3301.61772944</x:v>
      </x:c>
      <x:c r="F228" s="43" t="n">
        <x:v>2028</x:v>
      </x:c>
      <x:c r="G228" s="39"/>
      <x:c r="H228" s="39"/>
    </x:row>
    <x:row r="229">
      <x:c r="A229" s="43" t="str">
        <x:v>BS_PARENT_EQUITY</x:v>
      </x:c>
      <x:c r="B229" s="43" t="str">
        <x:v>H3B_ATTEMPT005</x:v>
      </x:c>
      <x:c r="C229" s="43" t="str">
        <x:v>BASE</x:v>
      </x:c>
      <x:c r="D229" s="43" t="str">
        <x:v>RMB_MILLION</x:v>
      </x:c>
      <x:c r="E229" s="43" t="n">
        <x:v>265052.86043858</x:v>
      </x:c>
      <x:c r="F229" s="43" t="n">
        <x:v>2028</x:v>
      </x:c>
      <x:c r="G229" s="39"/>
      <x:c r="H229" s="39"/>
    </x:row>
    <x:row r="230">
      <x:c r="A230" s="43" t="str">
        <x:v>BS_PPE</x:v>
      </x:c>
      <x:c r="B230" s="43" t="str">
        <x:v>H3B_ATTEMPT005</x:v>
      </x:c>
      <x:c r="C230" s="43" t="str">
        <x:v>BASE</x:v>
      </x:c>
      <x:c r="D230" s="43" t="str">
        <x:v>RMB_MILLION</x:v>
      </x:c>
      <x:c r="E230" s="43" t="n">
        <x:v>48846.30130108</x:v>
      </x:c>
      <x:c r="F230" s="43" t="n">
        <x:v>2028</x:v>
      </x:c>
      <x:c r="G230" s="39"/>
      <x:c r="H230" s="39"/>
    </x:row>
    <x:row r="231">
      <x:c r="A231" s="43" t="str">
        <x:v>BS_PREPAYMENTS</x:v>
      </x:c>
      <x:c r="B231" s="43" t="str">
        <x:v>H3B_ATTEMPT005</x:v>
      </x:c>
      <x:c r="C231" s="43" t="str">
        <x:v>BASE</x:v>
      </x:c>
      <x:c r="D231" s="43" t="str">
        <x:v>RMB_MILLION</x:v>
      </x:c>
      <x:c r="E231" s="43" t="n">
        <x:v>3681.73478621</x:v>
      </x:c>
      <x:c r="F231" s="43" t="n">
        <x:v>2028</x:v>
      </x:c>
      <x:c r="G231" s="39"/>
      <x:c r="H231" s="39"/>
    </x:row>
    <x:row r="232">
      <x:c r="A232" s="43" t="str">
        <x:v>BS_RECEIVABLES_FINANCING</x:v>
      </x:c>
      <x:c r="B232" s="43" t="str">
        <x:v>H3B_ATTEMPT005</x:v>
      </x:c>
      <x:c r="C232" s="43" t="str">
        <x:v>BASE</x:v>
      </x:c>
      <x:c r="D232" s="43" t="str">
        <x:v>RMB_MILLION</x:v>
      </x:c>
      <x:c r="E232" s="43" t="n">
        <x:v>18407.2984994</x:v>
      </x:c>
      <x:c r="F232" s="43" t="n">
        <x:v>2028</x:v>
      </x:c>
      <x:c r="G232" s="39"/>
      <x:c r="H232" s="39"/>
    </x:row>
    <x:row r="233">
      <x:c r="A233" s="43" t="str">
        <x:v>BS_RESTRICTED_CASH</x:v>
      </x:c>
      <x:c r="B233" s="43" t="str">
        <x:v>H3B_ATTEMPT005</x:v>
      </x:c>
      <x:c r="C233" s="43" t="str">
        <x:v>BASE</x:v>
      </x:c>
      <x:c r="D233" s="43" t="str">
        <x:v>RMB_MILLION</x:v>
      </x:c>
      <x:c r="E233" s="43" t="n">
        <x:v>5811.74724883</x:v>
      </x:c>
      <x:c r="F233" s="43" t="n">
        <x:v>2028</x:v>
      </x:c>
      <x:c r="G233" s="39"/>
      <x:c r="H233" s="39"/>
    </x:row>
    <x:row r="234">
      <x:c r="A234" s="43" t="str">
        <x:v>BS_RETAINED_EARNINGS</x:v>
      </x:c>
      <x:c r="B234" s="43" t="str">
        <x:v>H3B_ATTEMPT005</x:v>
      </x:c>
      <x:c r="C234" s="43" t="str">
        <x:v>BASE</x:v>
      </x:c>
      <x:c r="D234" s="43" t="str">
        <x:v>RMB_MILLION</x:v>
      </x:c>
      <x:c r="E234" s="43" t="n">
        <x:v>209059.57543858</x:v>
      </x:c>
      <x:c r="F234" s="43" t="n">
        <x:v>2028</x:v>
      </x:c>
      <x:c r="G234" s="39"/>
      <x:c r="H234" s="39"/>
    </x:row>
    <x:row r="235">
      <x:c r="A235" s="43" t="str">
        <x:v>BS_SHARE_CAPITAL</x:v>
      </x:c>
      <x:c r="B235" s="43" t="str">
        <x:v>H3B_ATTEMPT005</x:v>
      </x:c>
      <x:c r="C235" s="43" t="str">
        <x:v>BASE</x:v>
      </x:c>
      <x:c r="D235" s="43" t="str">
        <x:v>RMB_MILLION</x:v>
      </x:c>
      <x:c r="E235" s="43" t="n">
        <x:v>7597.145</x:v>
      </x:c>
      <x:c r="F235" s="43" t="n">
        <x:v>2028</x:v>
      </x:c>
      <x:c r="G235" s="39"/>
      <x:c r="H235" s="39"/>
    </x:row>
    <x:row r="236">
      <x:c r="A236" s="43" t="str">
        <x:v>BS_SHORT_TERM_BORROWING</x:v>
      </x:c>
      <x:c r="B236" s="43" t="str">
        <x:v>H3B_ATTEMPT005</x:v>
      </x:c>
      <x:c r="C236" s="43" t="str">
        <x:v>BASE</x:v>
      </x:c>
      <x:c r="D236" s="43" t="str">
        <x:v>RMB_MILLION</x:v>
      </x:c>
      <x:c r="E236" s="43" t="n">
        <x:v>54110.84989618</x:v>
      </x:c>
      <x:c r="F236" s="43" t="n">
        <x:v>2028</x:v>
      </x:c>
      <x:c r="G236" s="39"/>
      <x:c r="H236" s="39"/>
    </x:row>
    <x:row r="237">
      <x:c r="A237" s="43" t="str">
        <x:v>BS_TAXES_PAYABLE</x:v>
      </x:c>
      <x:c r="B237" s="43" t="str">
        <x:v>H3B_ATTEMPT005</x:v>
      </x:c>
      <x:c r="C237" s="43" t="str">
        <x:v>BASE</x:v>
      </x:c>
      <x:c r="D237" s="43" t="str">
        <x:v>RMB_MILLION</x:v>
      </x:c>
      <x:c r="E237" s="43" t="n">
        <x:v>8829.49855915</x:v>
      </x:c>
      <x:c r="F237" s="43" t="n">
        <x:v>2028</x:v>
      </x:c>
      <x:c r="G237" s="39"/>
      <x:c r="H237" s="39"/>
    </x:row>
    <x:row r="238">
      <x:c r="A238" s="43" t="str">
        <x:v>BS_TERM_DEPOSITS</x:v>
      </x:c>
      <x:c r="B238" s="43" t="str">
        <x:v>H3B_ATTEMPT005</x:v>
      </x:c>
      <x:c r="C238" s="43" t="str">
        <x:v>BASE</x:v>
      </x:c>
      <x:c r="D238" s="43" t="str">
        <x:v>RMB_MILLION</x:v>
      </x:c>
      <x:c r="E238" s="43" t="n">
        <x:v>14718.85910003</x:v>
      </x:c>
      <x:c r="F238" s="43" t="n">
        <x:v>2028</x:v>
      </x:c>
      <x:c r="G238" s="39"/>
      <x:c r="H238" s="39"/>
    </x:row>
    <x:row r="239">
      <x:c r="A239" s="43" t="str">
        <x:v>BS_TOTAL_ASSETS</x:v>
      </x:c>
      <x:c r="B239" s="43" t="str">
        <x:v>H3B_ATTEMPT005</x:v>
      </x:c>
      <x:c r="C239" s="43" t="str">
        <x:v>BASE</x:v>
      </x:c>
      <x:c r="D239" s="43" t="str">
        <x:v>RMB_MILLION</x:v>
      </x:c>
      <x:c r="E239" s="43" t="n">
        <x:v>720637.92671386</x:v>
      </x:c>
      <x:c r="F239" s="43" t="n">
        <x:v>2028</x:v>
      </x:c>
      <x:c r="G239" s="39"/>
      <x:c r="H239" s="39"/>
    </x:row>
    <x:row r="240">
      <x:c r="A240" s="43" t="str">
        <x:v>BS_TOTAL_CURRENT_ASSETS</x:v>
      </x:c>
      <x:c r="B240" s="43" t="str">
        <x:v>H3B_ATTEMPT005</x:v>
      </x:c>
      <x:c r="C240" s="43" t="str">
        <x:v>BASE</x:v>
      </x:c>
      <x:c r="D240" s="43" t="str">
        <x:v>RMB_MILLION</x:v>
      </x:c>
      <x:c r="E240" s="43" t="n">
        <x:v>486596.09322269</x:v>
      </x:c>
      <x:c r="F240" s="43" t="n">
        <x:v>2028</x:v>
      </x:c>
      <x:c r="G240" s="39"/>
      <x:c r="H240" s="39"/>
    </x:row>
    <x:row r="241">
      <x:c r="A241" s="43" t="str">
        <x:v>BS_TOTAL_CURRENT_ASSETS_OTHER_IMMATERIAL_COMPONENTS</x:v>
      </x:c>
      <x:c r="B241" s="43" t="str">
        <x:v>H3B_ATTEMPT005</x:v>
      </x:c>
      <x:c r="C241" s="43" t="str">
        <x:v>BASE</x:v>
      </x:c>
      <x:c r="D241" s="43" t="str">
        <x:v>RMB_MILLION</x:v>
      </x:c>
      <x:c r="E241" s="43" t="n">
        <x:v>0</x:v>
      </x:c>
      <x:c r="F241" s="43" t="n">
        <x:v>2028</x:v>
      </x:c>
      <x:c r="G241" s="39"/>
      <x:c r="H241" s="39"/>
    </x:row>
    <x:row r="242">
      <x:c r="A242" s="43" t="str">
        <x:v>BS_TOTAL_CURRENT_LIABILITIES</x:v>
      </x:c>
      <x:c r="B242" s="43" t="str">
        <x:v>H3B_ATTEMPT005</x:v>
      </x:c>
      <x:c r="C242" s="43" t="str">
        <x:v>BASE</x:v>
      </x:c>
      <x:c r="D242" s="43" t="str">
        <x:v>RMB_MILLION</x:v>
      </x:c>
      <x:c r="E242" s="43" t="n">
        <x:v>397276.84179035</x:v>
      </x:c>
      <x:c r="F242" s="43" t="n">
        <x:v>2028</x:v>
      </x:c>
      <x:c r="G242" s="39"/>
      <x:c r="H242" s="39"/>
    </x:row>
    <x:row r="243">
      <x:c r="A243" s="43" t="str">
        <x:v>BS_TOTAL_CURRENT_LIABILITIES_OTHER_IMMATERIAL_COMPONENTS</x:v>
      </x:c>
      <x:c r="B243" s="43" t="str">
        <x:v>H3B_ATTEMPT005</x:v>
      </x:c>
      <x:c r="C243" s="43" t="str">
        <x:v>BASE</x:v>
      </x:c>
      <x:c r="D243" s="43" t="str">
        <x:v>RMB_MILLION</x:v>
      </x:c>
      <x:c r="E243" s="43" t="n">
        <x:v>0</x:v>
      </x:c>
      <x:c r="F243" s="43" t="n">
        <x:v>2028</x:v>
      </x:c>
      <x:c r="G243" s="39"/>
      <x:c r="H243" s="39"/>
    </x:row>
    <x:row r="244">
      <x:c r="A244" s="43" t="str">
        <x:v>BS_TOTAL_EQUITY</x:v>
      </x:c>
      <x:c r="B244" s="43" t="str">
        <x:v>H3B_ATTEMPT005</x:v>
      </x:c>
      <x:c r="C244" s="43" t="str">
        <x:v>BASE</x:v>
      </x:c>
      <x:c r="D244" s="43" t="str">
        <x:v>RMB_MILLION</x:v>
      </x:c>
      <x:c r="E244" s="43" t="n">
        <x:v>280040.98430899</x:v>
      </x:c>
      <x:c r="F244" s="43" t="n">
        <x:v>2028</x:v>
      </x:c>
      <x:c r="G244" s="39"/>
      <x:c r="H244" s="39"/>
    </x:row>
    <x:row r="245">
      <x:c r="A245" s="43" t="str">
        <x:v>BS_TOTAL_LIABILITIES</x:v>
      </x:c>
      <x:c r="B245" s="43" t="str">
        <x:v>H3B_ATTEMPT005</x:v>
      </x:c>
      <x:c r="C245" s="43" t="str">
        <x:v>BASE</x:v>
      </x:c>
      <x:c r="D245" s="43" t="str">
        <x:v>RMB_MILLION</x:v>
      </x:c>
      <x:c r="E245" s="43" t="n">
        <x:v>440596.94240487</x:v>
      </x:c>
      <x:c r="F245" s="43" t="n">
        <x:v>2028</x:v>
      </x:c>
      <x:c r="G245" s="39"/>
      <x:c r="H245" s="39"/>
    </x:row>
    <x:row r="246">
      <x:c r="A246" s="43" t="str">
        <x:v>BS_TOTAL_NONCURRENT_ASSETS</x:v>
      </x:c>
      <x:c r="B246" s="43" t="str">
        <x:v>H3B_ATTEMPT005</x:v>
      </x:c>
      <x:c r="C246" s="43" t="str">
        <x:v>BASE</x:v>
      </x:c>
      <x:c r="D246" s="43" t="str">
        <x:v>RMB_MILLION</x:v>
      </x:c>
      <x:c r="E246" s="43" t="n">
        <x:v>234041.83349117</x:v>
      </x:c>
      <x:c r="F246" s="43" t="n">
        <x:v>2028</x:v>
      </x:c>
      <x:c r="G246" s="39"/>
      <x:c r="H246" s="39"/>
    </x:row>
    <x:row r="247">
      <x:c r="A247" s="43" t="str">
        <x:v>BS_TOTAL_NONCURRENT_ASSETS_OTHER_IMMATERIAL_COMPONENTS</x:v>
      </x:c>
      <x:c r="B247" s="43" t="str">
        <x:v>H3B_ATTEMPT005</x:v>
      </x:c>
      <x:c r="C247" s="43" t="str">
        <x:v>BASE</x:v>
      </x:c>
      <x:c r="D247" s="43" t="str">
        <x:v>RMB_MILLION</x:v>
      </x:c>
      <x:c r="E247" s="43" t="n">
        <x:v>96938.78608578</x:v>
      </x:c>
      <x:c r="F247" s="43" t="n">
        <x:v>2028</x:v>
      </x:c>
      <x:c r="G247" s="39"/>
      <x:c r="H247" s="39"/>
    </x:row>
    <x:row r="248">
      <x:c r="A248" s="43" t="str">
        <x:v>BS_TOTAL_NONCURRENT_LIABILITIES</x:v>
      </x:c>
      <x:c r="B248" s="43" t="str">
        <x:v>H3B_ATTEMPT005</x:v>
      </x:c>
      <x:c r="C248" s="43" t="str">
        <x:v>BASE</x:v>
      </x:c>
      <x:c r="D248" s="43" t="str">
        <x:v>RMB_MILLION</x:v>
      </x:c>
      <x:c r="E248" s="43" t="n">
        <x:v>43320.10061452</x:v>
      </x:c>
      <x:c r="F248" s="43" t="n">
        <x:v>2028</x:v>
      </x:c>
      <x:c r="G248" s="39"/>
      <x:c r="H248" s="39"/>
    </x:row>
    <x:row r="249">
      <x:c r="A249" s="43" t="str">
        <x:v>BS_TOTAL_NONCURRENT_LIABILITIES_OTHER_IMMATERIAL_COMPONENTS</x:v>
      </x:c>
      <x:c r="B249" s="43" t="str">
        <x:v>H3B_ATTEMPT005</x:v>
      </x:c>
      <x:c r="C249" s="43" t="str">
        <x:v>BASE</x:v>
      </x:c>
      <x:c r="D249" s="43" t="str">
        <x:v>RMB_MILLION</x:v>
      </x:c>
      <x:c r="E249" s="43" t="n">
        <x:v>20120.00178923</x:v>
      </x:c>
      <x:c r="F249" s="43" t="n">
        <x:v>2028</x:v>
      </x:c>
      <x:c r="G249" s="39"/>
      <x:c r="H249" s="39"/>
    </x:row>
    <x:row r="250">
      <x:c r="A250" s="43" t="str">
        <x:v>BS_TRADING_FINANCIAL_ASSETS</x:v>
      </x:c>
      <x:c r="B250" s="43" t="str">
        <x:v>H3B_ATTEMPT005</x:v>
      </x:c>
      <x:c r="C250" s="43" t="str">
        <x:v>BASE</x:v>
      </x:c>
      <x:c r="D250" s="43" t="str">
        <x:v>RMB_MILLION</x:v>
      </x:c>
      <x:c r="E250" s="43" t="n">
        <x:v>875.93429168</x:v>
      </x:c>
      <x:c r="F250" s="43" t="n">
        <x:v>2028</x:v>
      </x:c>
      <x:c r="G250" s="39"/>
      <x:c r="H250" s="39"/>
    </x:row>
    <x:row r="251">
      <x:c r="A251" s="43" t="str">
        <x:v>BS_TRADING_FINANCIAL_LIABILITIES</x:v>
      </x:c>
      <x:c r="B251" s="43" t="str">
        <x:v>H3B_ATTEMPT005</x:v>
      </x:c>
      <x:c r="C251" s="43" t="str">
        <x:v>BASE</x:v>
      </x:c>
      <x:c r="D251" s="43" t="str">
        <x:v>RMB_MILLION</x:v>
      </x:c>
      <x:c r="E251" s="43" t="n">
        <x:v>870.66180361</x:v>
      </x:c>
      <x:c r="F251" s="43" t="n">
        <x:v>2028</x:v>
      </x:c>
      <x:c r="G251" s="39"/>
      <x:c r="H251" s="39"/>
    </x:row>
    <x:row r="252">
      <x:c r="A252" s="43" t="str">
        <x:v>BS_TREASURY_SHARES</x:v>
      </x:c>
      <x:c r="B252" s="43" t="str">
        <x:v>H3B_ATTEMPT005</x:v>
      </x:c>
      <x:c r="C252" s="43" t="str">
        <x:v>BASE</x:v>
      </x:c>
      <x:c r="D252" s="43" t="str">
        <x:v>RMB_MILLION</x:v>
      </x:c>
      <x:c r="E252" s="43" t="n">
        <x:v>-8151.117</x:v>
      </x:c>
      <x:c r="F252" s="43" t="n">
        <x:v>2028</x:v>
      </x:c>
      <x:c r="G252" s="39"/>
      <x:c r="H252" s="39"/>
    </x:row>
    <x:row r="253">
      <x:c r="A253" s="43" t="str">
        <x:v>BS_AP</x:v>
      </x:c>
      <x:c r="B253" s="43" t="str">
        <x:v>H3B_ATTEMPT005</x:v>
      </x:c>
      <x:c r="C253" s="43" t="str">
        <x:v>BASE</x:v>
      </x:c>
      <x:c r="D253" s="43" t="str">
        <x:v>RMB_MILLION</x:v>
      </x:c>
      <x:c r="E253" s="43" t="n">
        <x:v>118010.71653288</x:v>
      </x:c>
      <x:c r="F253" s="43" t="n">
        <x:v>2029</x:v>
      </x:c>
      <x:c r="G253" s="39"/>
      <x:c r="H253" s="39"/>
    </x:row>
    <x:row r="254">
      <x:c r="A254" s="43" t="str">
        <x:v>BS_AR</x:v>
      </x:c>
      <x:c r="B254" s="43" t="str">
        <x:v>H3B_ATTEMPT005</x:v>
      </x:c>
      <x:c r="C254" s="43" t="str">
        <x:v>BASE</x:v>
      </x:c>
      <x:c r="D254" s="43" t="str">
        <x:v>RMB_MILLION</x:v>
      </x:c>
      <x:c r="E254" s="43" t="n">
        <x:v>53044.66110561</x:v>
      </x:c>
      <x:c r="F254" s="43" t="n">
        <x:v>2029</x:v>
      </x:c>
      <x:c r="G254" s="39"/>
      <x:c r="H254" s="39"/>
    </x:row>
    <x:row r="255">
      <x:c r="A255" s="43" t="str">
        <x:v>BS_CAPITAL_RESERVE</x:v>
      </x:c>
      <x:c r="B255" s="43" t="str">
        <x:v>H3B_ATTEMPT005</x:v>
      </x:c>
      <x:c r="C255" s="43" t="str">
        <x:v>BASE</x:v>
      </x:c>
      <x:c r="D255" s="43" t="str">
        <x:v>RMB_MILLION</x:v>
      </x:c>
      <x:c r="E255" s="43" t="n">
        <x:v>45350.72</x:v>
      </x:c>
      <x:c r="F255" s="43" t="n">
        <x:v>2029</x:v>
      </x:c>
      <x:c r="G255" s="39"/>
      <x:c r="H255" s="39"/>
    </x:row>
    <x:row r="256">
      <x:c r="A256" s="43" t="str">
        <x:v>BS_CASH</x:v>
      </x:c>
      <x:c r="B256" s="43" t="str">
        <x:v>H3B_ATTEMPT005</x:v>
      </x:c>
      <x:c r="C256" s="43" t="str">
        <x:v>BASE</x:v>
      </x:c>
      <x:c r="D256" s="43" t="str">
        <x:v>RMB_MILLION</x:v>
      </x:c>
      <x:c r="E256" s="43" t="n">
        <x:v>140373.2818629</x:v>
      </x:c>
      <x:c r="F256" s="43" t="n">
        <x:v>2029</x:v>
      </x:c>
      <x:c r="G256" s="39"/>
      <x:c r="H256" s="39"/>
    </x:row>
    <x:row r="257">
      <x:c r="A257" s="43" t="str">
        <x:v>BS_CASH_TAXONOMY_OTHER</x:v>
      </x:c>
      <x:c r="B257" s="43" t="str">
        <x:v>H3B_ATTEMPT005</x:v>
      </x:c>
      <x:c r="C257" s="43" t="str">
        <x:v>BASE</x:v>
      </x:c>
      <x:c r="D257" s="43" t="str">
        <x:v>RMB_MILLION</x:v>
      </x:c>
      <x:c r="E257" s="43" t="n">
        <x:v>107.40210337</x:v>
      </x:c>
      <x:c r="F257" s="43" t="n">
        <x:v>2029</x:v>
      </x:c>
      <x:c r="G257" s="39"/>
      <x:c r="H257" s="39"/>
    </x:row>
    <x:row r="258">
      <x:c r="A258" s="43" t="str">
        <x:v>BS_CIP</x:v>
      </x:c>
      <x:c r="B258" s="43" t="str">
        <x:v>H3B_ATTEMPT005</x:v>
      </x:c>
      <x:c r="C258" s="43" t="str">
        <x:v>BASE</x:v>
      </x:c>
      <x:c r="D258" s="43" t="str">
        <x:v>RMB_MILLION</x:v>
      </x:c>
      <x:c r="E258" s="43" t="n">
        <x:v>7432.27444629</x:v>
      </x:c>
      <x:c r="F258" s="43" t="n">
        <x:v>2029</x:v>
      </x:c>
      <x:c r="G258" s="39"/>
      <x:c r="H258" s="39"/>
    </x:row>
    <x:row r="259">
      <x:c r="A259" s="43" t="str">
        <x:v>BS_CONTRACT_ASSETS</x:v>
      </x:c>
      <x:c r="B259" s="43" t="str">
        <x:v>H3B_ATTEMPT005</x:v>
      </x:c>
      <x:c r="C259" s="43" t="str">
        <x:v>BASE</x:v>
      </x:c>
      <x:c r="D259" s="43" t="str">
        <x:v>RMB_MILLION</x:v>
      </x:c>
      <x:c r="E259" s="43" t="n">
        <x:v>5707.53066528</x:v>
      </x:c>
      <x:c r="F259" s="43" t="n">
        <x:v>2029</x:v>
      </x:c>
      <x:c r="G259" s="39"/>
      <x:c r="H259" s="39"/>
    </x:row>
    <x:row r="260">
      <x:c r="A260" s="43" t="str">
        <x:v>BS_CONTRACT_LIABILITIES</x:v>
      </x:c>
      <x:c r="B260" s="43" t="str">
        <x:v>H3B_ATTEMPT005</x:v>
      </x:c>
      <x:c r="C260" s="43" t="str">
        <x:v>BASE</x:v>
      </x:c>
      <x:c r="D260" s="43" t="str">
        <x:v>RMB_MILLION</x:v>
      </x:c>
      <x:c r="E260" s="43" t="n">
        <x:v>62835.71937906</x:v>
      </x:c>
      <x:c r="F260" s="43" t="n">
        <x:v>2029</x:v>
      </x:c>
      <x:c r="G260" s="39"/>
      <x:c r="H260" s="39"/>
    </x:row>
    <x:row r="261">
      <x:c r="A261" s="43" t="str">
        <x:v>BS_CURRENT_PORTION_DEBT</x:v>
      </x:c>
      <x:c r="B261" s="43" t="str">
        <x:v>H3B_ATTEMPT005</x:v>
      </x:c>
      <x:c r="C261" s="43" t="str">
        <x:v>BASE</x:v>
      </x:c>
      <x:c r="D261" s="43" t="str">
        <x:v>RMB_MILLION</x:v>
      </x:c>
      <x:c r="E261" s="43" t="n">
        <x:v>0</x:v>
      </x:c>
      <x:c r="F261" s="43" t="n">
        <x:v>2029</x:v>
      </x:c>
      <x:c r="G261" s="39"/>
      <x:c r="H261" s="39"/>
    </x:row>
    <x:row r="262">
      <x:c r="A262" s="43" t="str">
        <x:v>BS_CURRENT_PORTION_NONCURRENT_ASSETS</x:v>
      </x:c>
      <x:c r="B262" s="43" t="str">
        <x:v>H3B_ATTEMPT005</x:v>
      </x:c>
      <x:c r="C262" s="43" t="str">
        <x:v>BASE</x:v>
      </x:c>
      <x:c r="D262" s="43" t="str">
        <x:v>RMB_MILLION</x:v>
      </x:c>
      <x:c r="E262" s="43" t="n">
        <x:v>155704.39543491</x:v>
      </x:c>
      <x:c r="F262" s="43" t="n">
        <x:v>2029</x:v>
      </x:c>
      <x:c r="G262" s="39"/>
      <x:c r="H262" s="39"/>
    </x:row>
    <x:row r="263">
      <x:c r="A263" s="43" t="str">
        <x:v>BS_CURRENT_PORTION_NONCURRENT_ASSETS_FINANCE</x:v>
      </x:c>
      <x:c r="B263" s="43" t="str">
        <x:v>H3B_ATTEMPT005</x:v>
      </x:c>
      <x:c r="C263" s="43" t="str">
        <x:v>BASE</x:v>
      </x:c>
      <x:c r="D263" s="43" t="str">
        <x:v>RMB_MILLION</x:v>
      </x:c>
      <x:c r="E263" s="43" t="n">
        <x:v>341.86743491</x:v>
      </x:c>
      <x:c r="F263" s="43" t="n">
        <x:v>2029</x:v>
      </x:c>
      <x:c r="G263" s="39"/>
      <x:c r="H263" s="39"/>
    </x:row>
    <x:row r="264">
      <x:c r="A264" s="43" t="str">
        <x:v>BS_CURRENT_PORTION_NONCURRENT_ASSETS_TREASURY</x:v>
      </x:c>
      <x:c r="B264" s="43" t="str">
        <x:v>H3B_ATTEMPT005</x:v>
      </x:c>
      <x:c r="C264" s="43" t="str">
        <x:v>BASE</x:v>
      </x:c>
      <x:c r="D264" s="43" t="str">
        <x:v>RMB_MILLION</x:v>
      </x:c>
      <x:c r="E264" s="43" t="n">
        <x:v>155362.528</x:v>
      </x:c>
      <x:c r="F264" s="43" t="n">
        <x:v>2029</x:v>
      </x:c>
      <x:c r="G264" s="39"/>
      <x:c r="H264" s="39"/>
    </x:row>
    <x:row r="265">
      <x:c r="A265" s="43" t="str">
        <x:v>BS_CUSTOMER_DEPOSITS</x:v>
      </x:c>
      <x:c r="B265" s="43" t="str">
        <x:v>H3B_ATTEMPT005</x:v>
      </x:c>
      <x:c r="C265" s="43" t="str">
        <x:v>BASE</x:v>
      </x:c>
      <x:c r="D265" s="43" t="str">
        <x:v>RMB_MILLION</x:v>
      </x:c>
      <x:c r="E265" s="43" t="n">
        <x:v>179.3221877</x:v>
      </x:c>
      <x:c r="F265" s="43" t="n">
        <x:v>2029</x:v>
      </x:c>
      <x:c r="G265" s="39"/>
      <x:c r="H265" s="39"/>
    </x:row>
    <x:row r="266">
      <x:c r="A266" s="43" t="str">
        <x:v>BS_DERIVATIVE_FINANCIAL_ASSETS</x:v>
      </x:c>
      <x:c r="B266" s="43" t="str">
        <x:v>H3B_ATTEMPT005</x:v>
      </x:c>
      <x:c r="C266" s="43" t="str">
        <x:v>BASE</x:v>
      </x:c>
      <x:c r="D266" s="43" t="str">
        <x:v>RMB_MILLION</x:v>
      </x:c>
      <x:c r="E266" s="43" t="n">
        <x:v>2972.64734535</x:v>
      </x:c>
      <x:c r="F266" s="43" t="n">
        <x:v>2029</x:v>
      </x:c>
      <x:c r="G266" s="39"/>
      <x:c r="H266" s="39"/>
    </x:row>
    <x:row r="267">
      <x:c r="A267" s="43" t="str">
        <x:v>BS_DERIVATIVE_LIABILITIES</x:v>
      </x:c>
      <x:c r="B267" s="43" t="str">
        <x:v>H3B_ATTEMPT005</x:v>
      </x:c>
      <x:c r="C267" s="43" t="str">
        <x:v>BASE</x:v>
      </x:c>
      <x:c r="D267" s="43" t="str">
        <x:v>RMB_MILLION</x:v>
      </x:c>
      <x:c r="E267" s="43" t="n">
        <x:v>1137.84079877</x:v>
      </x:c>
      <x:c r="F267" s="43" t="n">
        <x:v>2029</x:v>
      </x:c>
      <x:c r="G267" s="39"/>
      <x:c r="H267" s="39"/>
    </x:row>
    <x:row r="268">
      <x:c r="A268" s="43" t="str">
        <x:v>BS_EMPLOYEE_COMP</x:v>
      </x:c>
      <x:c r="B268" s="43" t="str">
        <x:v>H3B_ATTEMPT005</x:v>
      </x:c>
      <x:c r="C268" s="43" t="str">
        <x:v>BASE</x:v>
      </x:c>
      <x:c r="D268" s="43" t="str">
        <x:v>RMB_MILLION</x:v>
      </x:c>
      <x:c r="E268" s="43" t="n">
        <x:v>12897.19110239</x:v>
      </x:c>
      <x:c r="F268" s="43" t="n">
        <x:v>2029</x:v>
      </x:c>
      <x:c r="G268" s="39"/>
      <x:c r="H268" s="39"/>
    </x:row>
    <x:row r="269">
      <x:c r="A269" s="43" t="str">
        <x:v>BS_GOODWILL</x:v>
      </x:c>
      <x:c r="B269" s="43" t="str">
        <x:v>H3B_ATTEMPT005</x:v>
      </x:c>
      <x:c r="C269" s="43" t="str">
        <x:v>BASE</x:v>
      </x:c>
      <x:c r="D269" s="43" t="str">
        <x:v>RMB_MILLION</x:v>
      </x:c>
      <x:c r="E269" s="43" t="n">
        <x:v>45805.79300288</x:v>
      </x:c>
      <x:c r="F269" s="43" t="n">
        <x:v>2029</x:v>
      </x:c>
      <x:c r="G269" s="39"/>
      <x:c r="H269" s="39"/>
    </x:row>
    <x:row r="270">
      <x:c r="A270" s="43" t="str">
        <x:v>BS_INCOME_TAX_PAYABLE</x:v>
      </x:c>
      <x:c r="B270" s="43" t="str">
        <x:v>H3B_ATTEMPT005</x:v>
      </x:c>
      <x:c r="C270" s="43" t="str">
        <x:v>BASE</x:v>
      </x:c>
      <x:c r="D270" s="43" t="str">
        <x:v>RMB_MILLION</x:v>
      </x:c>
      <x:c r="E270" s="43" t="n">
        <x:v>5997.31296726</x:v>
      </x:c>
      <x:c r="F270" s="43" t="n">
        <x:v>2029</x:v>
      </x:c>
      <x:c r="G270" s="39"/>
      <x:c r="H270" s="39"/>
    </x:row>
    <x:row r="271">
      <x:c r="A271" s="43" t="str">
        <x:v>BS_INTANGIBLES</x:v>
      </x:c>
      <x:c r="B271" s="43" t="str">
        <x:v>H3B_ATTEMPT005</x:v>
      </x:c>
      <x:c r="C271" s="43" t="str">
        <x:v>BASE</x:v>
      </x:c>
      <x:c r="D271" s="43" t="str">
        <x:v>RMB_MILLION</x:v>
      </x:c>
      <x:c r="E271" s="43" t="n">
        <x:v>30116.66056422</x:v>
      </x:c>
      <x:c r="F271" s="43" t="n">
        <x:v>2029</x:v>
      </x:c>
      <x:c r="G271" s="39"/>
      <x:c r="H271" s="39"/>
    </x:row>
    <x:row r="272">
      <x:c r="A272" s="43" t="str">
        <x:v>BS_INVENTORY</x:v>
      </x:c>
      <x:c r="B272" s="43" t="str">
        <x:v>H3B_ATTEMPT005</x:v>
      </x:c>
      <x:c r="C272" s="43" t="str">
        <x:v>BASE</x:v>
      </x:c>
      <x:c r="D272" s="43" t="str">
        <x:v>RMB_MILLION</x:v>
      </x:c>
      <x:c r="E272" s="43" t="n">
        <x:v>77597.93440896</x:v>
      </x:c>
      <x:c r="F272" s="43" t="n">
        <x:v>2029</x:v>
      </x:c>
      <x:c r="G272" s="39"/>
      <x:c r="H272" s="39"/>
    </x:row>
    <x:row r="273">
      <x:c r="A273" s="43" t="str">
        <x:v>BS_LOANS_ADVANCES_CURRENT</x:v>
      </x:c>
      <x:c r="B273" s="43" t="str">
        <x:v>H3B_ATTEMPT005</x:v>
      </x:c>
      <x:c r="C273" s="43" t="str">
        <x:v>BASE</x:v>
      </x:c>
      <x:c r="D273" s="43" t="str">
        <x:v>RMB_MILLION</x:v>
      </x:c>
      <x:c r="E273" s="43" t="n">
        <x:v>15750.31661945</x:v>
      </x:c>
      <x:c r="F273" s="43" t="n">
        <x:v>2029</x:v>
      </x:c>
      <x:c r="G273" s="39"/>
      <x:c r="H273" s="39"/>
    </x:row>
    <x:row r="274">
      <x:c r="A274" s="43" t="str">
        <x:v>BS_LONG_TERM_BORROWINGS</x:v>
      </x:c>
      <x:c r="B274" s="43" t="str">
        <x:v>H3B_ATTEMPT005</x:v>
      </x:c>
      <x:c r="C274" s="43" t="str">
        <x:v>BASE</x:v>
      </x:c>
      <x:c r="D274" s="43" t="str">
        <x:v>RMB_MILLION</x:v>
      </x:c>
      <x:c r="E274" s="43" t="n">
        <x:v>24748.63488632</x:v>
      </x:c>
      <x:c r="F274" s="43" t="n">
        <x:v>2029</x:v>
      </x:c>
      <x:c r="G274" s="39"/>
      <x:c r="H274" s="39"/>
    </x:row>
    <x:row r="275">
      <x:c r="A275" s="43" t="str">
        <x:v>BS_LONG_TERM_INVESTMENTS</x:v>
      </x:c>
      <x:c r="B275" s="43" t="str">
        <x:v>H3B_ATTEMPT005</x:v>
      </x:c>
      <x:c r="C275" s="43" t="str">
        <x:v>BASE</x:v>
      </x:c>
      <x:c r="D275" s="43" t="str">
        <x:v>RMB_MILLION</x:v>
      </x:c>
      <x:c r="E275" s="43" t="n">
        <x:v>6384.84331105</x:v>
      </x:c>
      <x:c r="F275" s="43" t="n">
        <x:v>2029</x:v>
      </x:c>
      <x:c r="G275" s="39"/>
      <x:c r="H275" s="39"/>
    </x:row>
    <x:row r="276">
      <x:c r="A276" s="43" t="str">
        <x:v>BS_NCI</x:v>
      </x:c>
      <x:c r="B276" s="43" t="str">
        <x:v>H3B_ATTEMPT005</x:v>
      </x:c>
      <x:c r="C276" s="43" t="str">
        <x:v>BASE</x:v>
      </x:c>
      <x:c r="D276" s="43" t="str">
        <x:v>RMB_MILLION</x:v>
      </x:c>
      <x:c r="E276" s="43" t="n">
        <x:v>15663.24430078</x:v>
      </x:c>
      <x:c r="F276" s="43" t="n">
        <x:v>2029</x:v>
      </x:c>
      <x:c r="G276" s="39"/>
      <x:c r="H276" s="39"/>
    </x:row>
    <x:row r="277">
      <x:c r="A277" s="43" t="str">
        <x:v>BS_NOTES_PAYABLE</x:v>
      </x:c>
      <x:c r="B277" s="43" t="str">
        <x:v>H3B_ATTEMPT005</x:v>
      </x:c>
      <x:c r="C277" s="43" t="str">
        <x:v>BASE</x:v>
      </x:c>
      <x:c r="D277" s="43" t="str">
        <x:v>RMB_MILLION</x:v>
      </x:c>
      <x:c r="E277" s="43" t="n">
        <x:v>36265.41671362</x:v>
      </x:c>
      <x:c r="F277" s="43" t="n">
        <x:v>2029</x:v>
      </x:c>
      <x:c r="G277" s="39"/>
      <x:c r="H277" s="39"/>
    </x:row>
    <x:row r="278">
      <x:c r="A278" s="43" t="str">
        <x:v>BS_NOTES_RECEIVABLE</x:v>
      </x:c>
      <x:c r="B278" s="43" t="str">
        <x:v>H3B_ATTEMPT005</x:v>
      </x:c>
      <x:c r="C278" s="43" t="str">
        <x:v>BASE</x:v>
      </x:c>
      <x:c r="D278" s="43" t="str">
        <x:v>RMB_MILLION</x:v>
      </x:c>
      <x:c r="E278" s="43" t="n">
        <x:v>7015.59182391</x:v>
      </x:c>
      <x:c r="F278" s="43" t="n">
        <x:v>2029</x:v>
      </x:c>
      <x:c r="G278" s="39"/>
      <x:c r="H278" s="39"/>
    </x:row>
    <x:row r="279">
      <x:c r="A279" s="43" t="str">
        <x:v>BS_OTHER_CURRENT_ASSETS</x:v>
      </x:c>
      <x:c r="B279" s="43" t="str">
        <x:v>H3B_ATTEMPT005</x:v>
      </x:c>
      <x:c r="C279" s="43" t="str">
        <x:v>BASE</x:v>
      </x:c>
      <x:c r="D279" s="43" t="str">
        <x:v>RMB_MILLION</x:v>
      </x:c>
      <x:c r="E279" s="43" t="n">
        <x:v>33450.45979299</x:v>
      </x:c>
      <x:c r="F279" s="43" t="n">
        <x:v>2029</x:v>
      </x:c>
      <x:c r="G279" s="39"/>
      <x:c r="H279" s="39"/>
    </x:row>
    <x:row r="280">
      <x:c r="A280" s="43" t="str">
        <x:v>BS_OTHER_CURRENT_ASSETS_HEDGE</x:v>
      </x:c>
      <x:c r="B280" s="43" t="str">
        <x:v>H3B_ATTEMPT005</x:v>
      </x:c>
      <x:c r="C280" s="43" t="str">
        <x:v>BASE</x:v>
      </x:c>
      <x:c r="D280" s="43" t="str">
        <x:v>RMB_MILLION</x:v>
      </x:c>
      <x:c r="E280" s="43" t="n">
        <x:v>4280.67373867</x:v>
      </x:c>
      <x:c r="F280" s="43" t="n">
        <x:v>2029</x:v>
      </x:c>
      <x:c r="G280" s="39"/>
      <x:c r="H280" s="39"/>
    </x:row>
    <x:row r="281">
      <x:c r="A281" s="43" t="str">
        <x:v>BS_OTHER_CURRENT_ASSETS_OPERATING</x:v>
      </x:c>
      <x:c r="B281" s="43" t="str">
        <x:v>H3B_ATTEMPT005</x:v>
      </x:c>
      <x:c r="C281" s="43" t="str">
        <x:v>BASE</x:v>
      </x:c>
      <x:c r="D281" s="43" t="str">
        <x:v>RMB_MILLION</x:v>
      </x:c>
      <x:c r="E281" s="43" t="n">
        <x:v>27742.65205432</x:v>
      </x:c>
      <x:c r="F281" s="43" t="n">
        <x:v>2029</x:v>
      </x:c>
      <x:c r="G281" s="39"/>
      <x:c r="H281" s="39"/>
    </x:row>
    <x:row r="282">
      <x:c r="A282" s="43" t="str">
        <x:v>BS_OTHER_CURRENT_ASSETS_TREASURY</x:v>
      </x:c>
      <x:c r="B282" s="43" t="str">
        <x:v>H3B_ATTEMPT005</x:v>
      </x:c>
      <x:c r="C282" s="43" t="str">
        <x:v>BASE</x:v>
      </x:c>
      <x:c r="D282" s="43" t="str">
        <x:v>RMB_MILLION</x:v>
      </x:c>
      <x:c r="E282" s="43" t="n">
        <x:v>1427.134</x:v>
      </x:c>
      <x:c r="F282" s="43" t="n">
        <x:v>2029</x:v>
      </x:c>
      <x:c r="G282" s="39"/>
      <x:c r="H282" s="39"/>
    </x:row>
    <x:row r="283">
      <x:c r="A283" s="43" t="str">
        <x:v>BS_OTHER_CURRENT_LIABILITIES</x:v>
      </x:c>
      <x:c r="B283" s="43" t="str">
        <x:v>H3B_ATTEMPT005</x:v>
      </x:c>
      <x:c r="C283" s="43" t="str">
        <x:v>BASE</x:v>
      </x:c>
      <x:c r="D283" s="43" t="str">
        <x:v>RMB_MILLION</x:v>
      </x:c>
      <x:c r="E283" s="43" t="n">
        <x:v>123734.34061</x:v>
      </x:c>
      <x:c r="F283" s="43" t="n">
        <x:v>2029</x:v>
      </x:c>
      <x:c r="G283" s="39"/>
      <x:c r="H283" s="39"/>
    </x:row>
    <x:row r="284">
      <x:c r="A284" s="43" t="str">
        <x:v>BS_OTHER_CURRENT_LIABILITIES_HEDGE</x:v>
      </x:c>
      <x:c r="B284" s="43" t="str">
        <x:v>H3B_ATTEMPT005</x:v>
      </x:c>
      <x:c r="C284" s="43" t="str">
        <x:v>BASE</x:v>
      </x:c>
      <x:c r="D284" s="43" t="str">
        <x:v>RMB_MILLION</x:v>
      </x:c>
      <x:c r="E284" s="43" t="n">
        <x:v>28.72150169</x:v>
      </x:c>
      <x:c r="F284" s="43" t="n">
        <x:v>2029</x:v>
      </x:c>
      <x:c r="G284" s="39"/>
      <x:c r="H284" s="39"/>
    </x:row>
    <x:row r="285">
      <x:c r="A285" s="43" t="str">
        <x:v>BS_OTHER_CURRENT_LIABILITIES_OPERATING</x:v>
      </x:c>
      <x:c r="B285" s="43" t="str">
        <x:v>H3B_ATTEMPT005</x:v>
      </x:c>
      <x:c r="C285" s="43" t="str">
        <x:v>BASE</x:v>
      </x:c>
      <x:c r="D285" s="43" t="str">
        <x:v>RMB_MILLION</x:v>
      </x:c>
      <x:c r="E285" s="43" t="n">
        <x:v>123705.61910831</x:v>
      </x:c>
      <x:c r="F285" s="43" t="n">
        <x:v>2029</x:v>
      </x:c>
      <x:c r="G285" s="39"/>
      <x:c r="H285" s="39"/>
    </x:row>
    <x:row r="286">
      <x:c r="A286" s="43" t="str">
        <x:v>BS_OTHER_NONCURRENT_FINANCIAL_ASSETS</x:v>
      </x:c>
      <x:c r="B286" s="43" t="str">
        <x:v>H3B_ATTEMPT005</x:v>
      </x:c>
      <x:c r="C286" s="43" t="str">
        <x:v>BASE</x:v>
      </x:c>
      <x:c r="D286" s="43" t="str">
        <x:v>RMB_MILLION</x:v>
      </x:c>
      <x:c r="E286" s="43" t="n">
        <x:v>6399.61188582</x:v>
      </x:c>
      <x:c r="F286" s="43" t="n">
        <x:v>2029</x:v>
      </x:c>
      <x:c r="G286" s="39"/>
      <x:c r="H286" s="39"/>
    </x:row>
    <x:row r="287">
      <x:c r="A287" s="43" t="str">
        <x:v>BS_OTHER_PAYABLES</x:v>
      </x:c>
      <x:c r="B287" s="43" t="str">
        <x:v>H3B_ATTEMPT005</x:v>
      </x:c>
      <x:c r="C287" s="43" t="str">
        <x:v>BASE</x:v>
      </x:c>
      <x:c r="D287" s="43" t="str">
        <x:v>RMB_MILLION</x:v>
      </x:c>
      <x:c r="E287" s="43" t="n">
        <x:v>6449.60307687</x:v>
      </x:c>
      <x:c r="F287" s="43" t="n">
        <x:v>2029</x:v>
      </x:c>
      <x:c r="G287" s="39"/>
      <x:c r="H287" s="39"/>
    </x:row>
    <x:row r="288">
      <x:c r="A288" s="43" t="str">
        <x:v>BS_OTHER_RECEIVABLES</x:v>
      </x:c>
      <x:c r="B288" s="43" t="str">
        <x:v>H3B_ATTEMPT005</x:v>
      </x:c>
      <x:c r="C288" s="43" t="str">
        <x:v>BASE</x:v>
      </x:c>
      <x:c r="D288" s="43" t="str">
        <x:v>RMB_MILLION</x:v>
      </x:c>
      <x:c r="E288" s="43" t="n">
        <x:v>4266.22741165</x:v>
      </x:c>
      <x:c r="F288" s="43" t="n">
        <x:v>2029</x:v>
      </x:c>
      <x:c r="G288" s="39"/>
      <x:c r="H288" s="39"/>
    </x:row>
    <x:row r="289">
      <x:c r="A289" s="43" t="str">
        <x:v>BS_OTHER_RESERVES</x:v>
      </x:c>
      <x:c r="B289" s="43" t="str">
        <x:v>H3B_ATTEMPT005</x:v>
      </x:c>
      <x:c r="C289" s="43" t="str">
        <x:v>BASE</x:v>
      </x:c>
      <x:c r="D289" s="43" t="str">
        <x:v>RMB_MILLION</x:v>
      </x:c>
      <x:c r="E289" s="43" t="n">
        <x:v>11196.537</x:v>
      </x:c>
      <x:c r="F289" s="43" t="n">
        <x:v>2029</x:v>
      </x:c>
      <x:c r="G289" s="39"/>
      <x:c r="H289" s="39"/>
    </x:row>
    <x:row r="290">
      <x:c r="A290" s="43" t="str">
        <x:v>BS_OTHER_TAXES_PAYABLE</x:v>
      </x:c>
      <x:c r="B290" s="43" t="str">
        <x:v>H3B_ATTEMPT005</x:v>
      </x:c>
      <x:c r="C290" s="43" t="str">
        <x:v>BASE</x:v>
      </x:c>
      <x:c r="D290" s="43" t="str">
        <x:v>RMB_MILLION</x:v>
      </x:c>
      <x:c r="E290" s="43" t="n">
        <x:v>3581.99379322</x:v>
      </x:c>
      <x:c r="F290" s="43" t="n">
        <x:v>2029</x:v>
      </x:c>
      <x:c r="G290" s="39"/>
      <x:c r="H290" s="39"/>
    </x:row>
    <x:row r="291">
      <x:c r="A291" s="43" t="str">
        <x:v>BS_PARENT_EQUITY</x:v>
      </x:c>
      <x:c r="B291" s="43" t="str">
        <x:v>H3B_ATTEMPT005</x:v>
      </x:c>
      <x:c r="C291" s="43" t="str">
        <x:v>BASE</x:v>
      </x:c>
      <x:c r="D291" s="43" t="str">
        <x:v>RMB_MILLION</x:v>
      </x:c>
      <x:c r="E291" s="43" t="n">
        <x:v>280872.51361074</x:v>
      </x:c>
      <x:c r="F291" s="43" t="n">
        <x:v>2029</x:v>
      </x:c>
      <x:c r="G291" s="39"/>
      <x:c r="H291" s="39"/>
    </x:row>
    <x:row r="292">
      <x:c r="A292" s="43" t="str">
        <x:v>BS_PPE</x:v>
      </x:c>
      <x:c r="B292" s="43" t="str">
        <x:v>H3B_ATTEMPT005</x:v>
      </x:c>
      <x:c r="C292" s="43" t="str">
        <x:v>BASE</x:v>
      </x:c>
      <x:c r="D292" s="43" t="str">
        <x:v>RMB_MILLION</x:v>
      </x:c>
      <x:c r="E292" s="43" t="n">
        <x:v>51744.7374176</x:v>
      </x:c>
      <x:c r="F292" s="43" t="n">
        <x:v>2029</x:v>
      </x:c>
      <x:c r="G292" s="39"/>
      <x:c r="H292" s="39"/>
    </x:row>
    <x:row r="293">
      <x:c r="A293" s="43" t="str">
        <x:v>BS_PREPAYMENTS</x:v>
      </x:c>
      <x:c r="B293" s="43" t="str">
        <x:v>H3B_ATTEMPT005</x:v>
      </x:c>
      <x:c r="C293" s="43" t="str">
        <x:v>BASE</x:v>
      </x:c>
      <x:c r="D293" s="43" t="str">
        <x:v>RMB_MILLION</x:v>
      </x:c>
      <x:c r="E293" s="43" t="n">
        <x:v>3994.39069972</x:v>
      </x:c>
      <x:c r="F293" s="43" t="n">
        <x:v>2029</x:v>
      </x:c>
      <x:c r="G293" s="39"/>
      <x:c r="H293" s="39"/>
    </x:row>
    <x:row r="294">
      <x:c r="A294" s="43" t="str">
        <x:v>BS_RECEIVABLES_FINANCING</x:v>
      </x:c>
      <x:c r="B294" s="43" t="str">
        <x:v>H3B_ATTEMPT005</x:v>
      </x:c>
      <x:c r="C294" s="43" t="str">
        <x:v>BASE</x:v>
      </x:c>
      <x:c r="D294" s="43" t="str">
        <x:v>RMB_MILLION</x:v>
      </x:c>
      <x:c r="E294" s="43" t="n">
        <x:v>19970.46126415</x:v>
      </x:c>
      <x:c r="F294" s="43" t="n">
        <x:v>2029</x:v>
      </x:c>
      <x:c r="G294" s="39"/>
      <x:c r="H294" s="39"/>
    </x:row>
    <x:row r="295">
      <x:c r="A295" s="43" t="str">
        <x:v>BS_RESTRICTED_CASH</x:v>
      </x:c>
      <x:c r="B295" s="43" t="str">
        <x:v>H3B_ATTEMPT005</x:v>
      </x:c>
      <x:c r="C295" s="43" t="str">
        <x:v>BASE</x:v>
      </x:c>
      <x:c r="D295" s="43" t="str">
        <x:v>RMB_MILLION</x:v>
      </x:c>
      <x:c r="E295" s="43" t="n">
        <x:v>6305.28555364</x:v>
      </x:c>
      <x:c r="F295" s="43" t="n">
        <x:v>2029</x:v>
      </x:c>
      <x:c r="G295" s="39"/>
      <x:c r="H295" s="39"/>
    </x:row>
    <x:row r="296">
      <x:c r="A296" s="43" t="str">
        <x:v>BS_RETAINED_EARNINGS</x:v>
      </x:c>
      <x:c r="B296" s="43" t="str">
        <x:v>H3B_ATTEMPT005</x:v>
      </x:c>
      <x:c r="C296" s="43" t="str">
        <x:v>BASE</x:v>
      </x:c>
      <x:c r="D296" s="43" t="str">
        <x:v>RMB_MILLION</x:v>
      </x:c>
      <x:c r="E296" s="43" t="n">
        <x:v>224879.22861074</x:v>
      </x:c>
      <x:c r="F296" s="43" t="n">
        <x:v>2029</x:v>
      </x:c>
      <x:c r="G296" s="39"/>
      <x:c r="H296" s="39"/>
    </x:row>
    <x:row r="297">
      <x:c r="A297" s="43" t="str">
        <x:v>BS_SHARE_CAPITAL</x:v>
      </x:c>
      <x:c r="B297" s="43" t="str">
        <x:v>H3B_ATTEMPT005</x:v>
      </x:c>
      <x:c r="C297" s="43" t="str">
        <x:v>BASE</x:v>
      </x:c>
      <x:c r="D297" s="43" t="str">
        <x:v>RMB_MILLION</x:v>
      </x:c>
      <x:c r="E297" s="43" t="n">
        <x:v>7597.145</x:v>
      </x:c>
      <x:c r="F297" s="43" t="n">
        <x:v>2029</x:v>
      </x:c>
      <x:c r="G297" s="39"/>
      <x:c r="H297" s="39"/>
    </x:row>
    <x:row r="298">
      <x:c r="A298" s="43" t="str">
        <x:v>BS_SHORT_TERM_BORROWING</x:v>
      </x:c>
      <x:c r="B298" s="43" t="str">
        <x:v>H3B_ATTEMPT005</x:v>
      </x:c>
      <x:c r="C298" s="43" t="str">
        <x:v>BASE</x:v>
      </x:c>
      <x:c r="D298" s="43" t="str">
        <x:v>RMB_MILLION</x:v>
      </x:c>
      <x:c r="E298" s="43" t="n">
        <x:v>58705.98729395</x:v>
      </x:c>
      <x:c r="F298" s="43" t="n">
        <x:v>2029</x:v>
      </x:c>
      <x:c r="G298" s="39"/>
      <x:c r="H298" s="39"/>
    </x:row>
    <x:row r="299">
      <x:c r="A299" s="43" t="str">
        <x:v>BS_TAXES_PAYABLE</x:v>
      </x:c>
      <x:c r="B299" s="43" t="str">
        <x:v>H3B_ATTEMPT005</x:v>
      </x:c>
      <x:c r="C299" s="43" t="str">
        <x:v>BASE</x:v>
      </x:c>
      <x:c r="D299" s="43" t="str">
        <x:v>RMB_MILLION</x:v>
      </x:c>
      <x:c r="E299" s="43" t="n">
        <x:v>9579.30676048</x:v>
      </x:c>
      <x:c r="F299" s="43" t="n">
        <x:v>2029</x:v>
      </x:c>
      <x:c r="G299" s="39"/>
      <x:c r="H299" s="39"/>
    </x:row>
    <x:row r="300">
      <x:c r="A300" s="43" t="str">
        <x:v>BS_TERM_DEPOSITS</x:v>
      </x:c>
      <x:c r="B300" s="43" t="str">
        <x:v>H3B_ATTEMPT005</x:v>
      </x:c>
      <x:c r="C300" s="43" t="str">
        <x:v>BASE</x:v>
      </x:c>
      <x:c r="D300" s="43" t="str">
        <x:v>RMB_MILLION</x:v>
      </x:c>
      <x:c r="E300" s="43" t="n">
        <x:v>15968.79659007</x:v>
      </x:c>
      <x:c r="F300" s="43" t="n">
        <x:v>2029</x:v>
      </x:c>
      <x:c r="G300" s="39"/>
      <x:c r="H300" s="39"/>
    </x:row>
    <x:row r="301">
      <x:c r="A301" s="43" t="str">
        <x:v>BS_TOTAL_ASSETS</x:v>
      </x:c>
      <x:c r="B301" s="43" t="str">
        <x:v>H3B_ATTEMPT005</x:v>
      </x:c>
      <x:c r="C301" s="43" t="str">
        <x:v>BASE</x:v>
      </x:c>
      <x:c r="D301" s="43" t="str">
        <x:v>RMB_MILLION</x:v>
      </x:c>
      <x:c r="E301" s="43" t="n">
        <x:v>773853.04507671</x:v>
      </x:c>
      <x:c r="F301" s="43" t="n">
        <x:v>2029</x:v>
      </x:c>
      <x:c r="G301" s="39"/>
      <x:c r="H301" s="39"/>
    </x:row>
    <x:row r="302">
      <x:c r="A302" s="43" t="str">
        <x:v>BS_TOTAL_CURRENT_ASSETS</x:v>
      </x:c>
      <x:c r="B302" s="43" t="str">
        <x:v>H3B_ATTEMPT005</x:v>
      </x:c>
      <x:c r="C302" s="43" t="str">
        <x:v>BASE</x:v>
      </x:c>
      <x:c r="D302" s="43" t="str">
        <x:v>RMB_MILLION</x:v>
      </x:c>
      <x:c r="E302" s="43" t="n">
        <x:v>520798.21777927</x:v>
      </x:c>
      <x:c r="F302" s="43" t="n">
        <x:v>2029</x:v>
      </x:c>
      <x:c r="G302" s="39"/>
      <x:c r="H302" s="39"/>
    </x:row>
    <x:row r="303">
      <x:c r="A303" s="43" t="str">
        <x:v>BS_TOTAL_CURRENT_ASSETS_OTHER_IMMATERIAL_COMPONENTS</x:v>
      </x:c>
      <x:c r="B303" s="43" t="str">
        <x:v>H3B_ATTEMPT005</x:v>
      </x:c>
      <x:c r="C303" s="43" t="str">
        <x:v>BASE</x:v>
      </x:c>
      <x:c r="D303" s="43" t="str">
        <x:v>RMB_MILLION</x:v>
      </x:c>
      <x:c r="E303" s="43" t="n">
        <x:v>0</x:v>
      </x:c>
      <x:c r="F303" s="43" t="n">
        <x:v>2029</x:v>
      </x:c>
      <x:c r="G303" s="39"/>
      <x:c r="H303" s="39"/>
    </x:row>
    <x:row r="304">
      <x:c r="A304" s="43" t="str">
        <x:v>BS_TOTAL_CURRENT_LIABILITIES</x:v>
      </x:c>
      <x:c r="B304" s="43" t="str">
        <x:v>H3B_ATTEMPT005</x:v>
      </x:c>
      <x:c r="C304" s="43" t="str">
        <x:v>BASE</x:v>
      </x:c>
      <x:c r="D304" s="43" t="str">
        <x:v>RMB_MILLION</x:v>
      </x:c>
      <x:c r="E304" s="43" t="n">
        <x:v>430740.04356807</x:v>
      </x:c>
      <x:c r="F304" s="43" t="n">
        <x:v>2029</x:v>
      </x:c>
      <x:c r="G304" s="39"/>
      <x:c r="H304" s="39"/>
    </x:row>
    <x:row r="305">
      <x:c r="A305" s="43" t="str">
        <x:v>BS_TOTAL_CURRENT_LIABILITIES_OTHER_IMMATERIAL_COMPONENTS</x:v>
      </x:c>
      <x:c r="B305" s="43" t="str">
        <x:v>H3B_ATTEMPT005</x:v>
      </x:c>
      <x:c r="C305" s="43" t="str">
        <x:v>BASE</x:v>
      </x:c>
      <x:c r="D305" s="43" t="str">
        <x:v>RMB_MILLION</x:v>
      </x:c>
      <x:c r="E305" s="43" t="n">
        <x:v>0</x:v>
      </x:c>
      <x:c r="F305" s="43" t="n">
        <x:v>2029</x:v>
      </x:c>
      <x:c r="G305" s="39"/>
      <x:c r="H305" s="39"/>
    </x:row>
    <x:row r="306">
      <x:c r="A306" s="43" t="str">
        <x:v>BS_TOTAL_EQUITY</x:v>
      </x:c>
      <x:c r="B306" s="43" t="str">
        <x:v>H3B_ATTEMPT005</x:v>
      </x:c>
      <x:c r="C306" s="43" t="str">
        <x:v>BASE</x:v>
      </x:c>
      <x:c r="D306" s="43" t="str">
        <x:v>RMB_MILLION</x:v>
      </x:c>
      <x:c r="E306" s="43" t="n">
        <x:v>296535.75791152</x:v>
      </x:c>
      <x:c r="F306" s="43" t="n">
        <x:v>2029</x:v>
      </x:c>
      <x:c r="G306" s="39"/>
      <x:c r="H306" s="39"/>
    </x:row>
    <x:row r="307">
      <x:c r="A307" s="43" t="str">
        <x:v>BS_TOTAL_LIABILITIES</x:v>
      </x:c>
      <x:c r="B307" s="43" t="str">
        <x:v>H3B_ATTEMPT005</x:v>
      </x:c>
      <x:c r="C307" s="43" t="str">
        <x:v>BASE</x:v>
      </x:c>
      <x:c r="D307" s="43" t="str">
        <x:v>RMB_MILLION</x:v>
      </x:c>
      <x:c r="E307" s="43" t="n">
        <x:v>477317.28716519</x:v>
      </x:c>
      <x:c r="F307" s="43" t="n">
        <x:v>2029</x:v>
      </x:c>
      <x:c r="G307" s="39"/>
      <x:c r="H307" s="39"/>
    </x:row>
    <x:row r="308">
      <x:c r="A308" s="43" t="str">
        <x:v>BS_TOTAL_NONCURRENT_ASSETS</x:v>
      </x:c>
      <x:c r="B308" s="43" t="str">
        <x:v>H3B_ATTEMPT005</x:v>
      </x:c>
      <x:c r="C308" s="43" t="str">
        <x:v>BASE</x:v>
      </x:c>
      <x:c r="D308" s="43" t="str">
        <x:v>RMB_MILLION</x:v>
      </x:c>
      <x:c r="E308" s="43" t="n">
        <x:v>253054.82729744</x:v>
      </x:c>
      <x:c r="F308" s="43" t="n">
        <x:v>2029</x:v>
      </x:c>
      <x:c r="G308" s="39"/>
      <x:c r="H308" s="39"/>
    </x:row>
    <x:row r="309">
      <x:c r="A309" s="43" t="str">
        <x:v>BS_TOTAL_NONCURRENT_ASSETS_OTHER_IMMATERIAL_COMPONENTS</x:v>
      </x:c>
      <x:c r="B309" s="43" t="str">
        <x:v>H3B_ATTEMPT005</x:v>
      </x:c>
      <x:c r="C309" s="43" t="str">
        <x:v>BASE</x:v>
      </x:c>
      <x:c r="D309" s="43" t="str">
        <x:v>RMB_MILLION</x:v>
      </x:c>
      <x:c r="E309" s="43" t="n">
        <x:v>105170.90666958</x:v>
      </x:c>
      <x:c r="F309" s="43" t="n">
        <x:v>2029</x:v>
      </x:c>
      <x:c r="G309" s="39"/>
      <x:c r="H309" s="39"/>
    </x:row>
    <x:row r="310">
      <x:c r="A310" s="43" t="str">
        <x:v>BS_TOTAL_NONCURRENT_LIABILITIES</x:v>
      </x:c>
      <x:c r="B310" s="43" t="str">
        <x:v>H3B_ATTEMPT005</x:v>
      </x:c>
      <x:c r="C310" s="43" t="str">
        <x:v>BASE</x:v>
      </x:c>
      <x:c r="D310" s="43" t="str">
        <x:v>RMB_MILLION</x:v>
      </x:c>
      <x:c r="E310" s="43" t="n">
        <x:v>46577.24359712</x:v>
      </x:c>
      <x:c r="F310" s="43" t="n">
        <x:v>2029</x:v>
      </x:c>
      <x:c r="G310" s="39"/>
      <x:c r="H310" s="39"/>
    </x:row>
    <x:row r="311">
      <x:c r="A311" s="43" t="str">
        <x:v>BS_TOTAL_NONCURRENT_LIABILITIES_OTHER_IMMATERIAL_COMPONENTS</x:v>
      </x:c>
      <x:c r="B311" s="43" t="str">
        <x:v>H3B_ATTEMPT005</x:v>
      </x:c>
      <x:c r="C311" s="43" t="str">
        <x:v>BASE</x:v>
      </x:c>
      <x:c r="D311" s="43" t="str">
        <x:v>RMB_MILLION</x:v>
      </x:c>
      <x:c r="E311" s="43" t="n">
        <x:v>21828.6087108</x:v>
      </x:c>
      <x:c r="F311" s="43" t="n">
        <x:v>2029</x:v>
      </x:c>
      <x:c r="G311" s="39"/>
      <x:c r="H311" s="39"/>
    </x:row>
    <x:row r="312">
      <x:c r="A312" s="43" t="str">
        <x:v>BS_TRADING_FINANCIAL_ASSETS</x:v>
      </x:c>
      <x:c r="B312" s="43" t="str">
        <x:v>H3B_ATTEMPT005</x:v>
      </x:c>
      <x:c r="C312" s="43" t="str">
        <x:v>BASE</x:v>
      </x:c>
      <x:c r="D312" s="43" t="str">
        <x:v>RMB_MILLION</x:v>
      </x:c>
      <x:c r="E312" s="43" t="n">
        <x:v>950.31934439</x:v>
      </x:c>
      <x:c r="F312" s="43" t="n">
        <x:v>2029</x:v>
      </x:c>
      <x:c r="G312" s="39"/>
      <x:c r="H312" s="39"/>
    </x:row>
    <x:row r="313">
      <x:c r="A313" s="43" t="str">
        <x:v>BS_TRADING_FINANCIAL_LIABILITIES</x:v>
      </x:c>
      <x:c r="B313" s="43" t="str">
        <x:v>H3B_ATTEMPT005</x:v>
      </x:c>
      <x:c r="C313" s="43" t="str">
        <x:v>BASE</x:v>
      </x:c>
      <x:c r="D313" s="43" t="str">
        <x:v>RMB_MILLION</x:v>
      </x:c>
      <x:c r="E313" s="43" t="n">
        <x:v>944.59911235</x:v>
      </x:c>
      <x:c r="F313" s="43" t="n">
        <x:v>2029</x:v>
      </x:c>
      <x:c r="G313" s="39"/>
      <x:c r="H313" s="39"/>
    </x:row>
    <x:row r="314">
      <x:c r="A314" s="43" t="str">
        <x:v>BS_TREASURY_SHARES</x:v>
      </x:c>
      <x:c r="B314" s="43" t="str">
        <x:v>H3B_ATTEMPT005</x:v>
      </x:c>
      <x:c r="C314" s="43" t="str">
        <x:v>BASE</x:v>
      </x:c>
      <x:c r="D314" s="43" t="str">
        <x:v>RMB_MILLION</x:v>
      </x:c>
      <x:c r="E314" s="43" t="n">
        <x:v>-8151.117</x:v>
      </x:c>
      <x:c r="F314" s="43" t="n">
        <x:v>2029</x:v>
      </x:c>
      <x:c r="G314" s="39"/>
      <x:c r="H314" s="39"/>
    </x:row>
    <x:row r="315">
      <x:c r="A315" s="43" t="str">
        <x:v>BS_AP</x:v>
      </x:c>
      <x:c r="B315" s="43" t="str">
        <x:v>H3B_ATTEMPT005</x:v>
      </x:c>
      <x:c r="C315" s="43" t="str">
        <x:v>BASE</x:v>
      </x:c>
      <x:c r="D315" s="43" t="str">
        <x:v>RMB_MILLION</x:v>
      </x:c>
      <x:c r="E315" s="43" t="n">
        <x:v>128229.25120737</x:v>
      </x:c>
      <x:c r="F315" s="43" t="n">
        <x:v>2030</x:v>
      </x:c>
      <x:c r="G315" s="39"/>
      <x:c r="H315" s="39"/>
    </x:row>
    <x:row r="316">
      <x:c r="A316" s="43" t="str">
        <x:v>BS_AR</x:v>
      </x:c>
      <x:c r="B316" s="43" t="str">
        <x:v>H3B_ATTEMPT005</x:v>
      </x:c>
      <x:c r="C316" s="43" t="str">
        <x:v>BASE</x:v>
      </x:c>
      <x:c r="D316" s="43" t="str">
        <x:v>RMB_MILLION</x:v>
      </x:c>
      <x:c r="E316" s="43" t="n">
        <x:v>57284.43825677</x:v>
      </x:c>
      <x:c r="F316" s="43" t="n">
        <x:v>2030</x:v>
      </x:c>
      <x:c r="G316" s="39"/>
      <x:c r="H316" s="39"/>
    </x:row>
    <x:row r="317">
      <x:c r="A317" s="43" t="str">
        <x:v>BS_CAPITAL_RESERVE</x:v>
      </x:c>
      <x:c r="B317" s="43" t="str">
        <x:v>H3B_ATTEMPT005</x:v>
      </x:c>
      <x:c r="C317" s="43" t="str">
        <x:v>BASE</x:v>
      </x:c>
      <x:c r="D317" s="43" t="str">
        <x:v>RMB_MILLION</x:v>
      </x:c>
      <x:c r="E317" s="43" t="n">
        <x:v>45350.72</x:v>
      </x:c>
      <x:c r="F317" s="43" t="n">
        <x:v>2030</x:v>
      </x:c>
      <x:c r="G317" s="39"/>
      <x:c r="H317" s="39"/>
    </x:row>
    <x:row r="318">
      <x:c r="A318" s="43" t="str">
        <x:v>BS_CASH</x:v>
      </x:c>
      <x:c r="B318" s="43" t="str">
        <x:v>H3B_ATTEMPT005</x:v>
      </x:c>
      <x:c r="C318" s="43" t="str">
        <x:v>BASE</x:v>
      </x:c>
      <x:c r="D318" s="43" t="str">
        <x:v>RMB_MILLION</x:v>
      </x:c>
      <x:c r="E318" s="43" t="n">
        <x:v>158216.20260816</x:v>
      </x:c>
      <x:c r="F318" s="43" t="n">
        <x:v>2030</x:v>
      </x:c>
      <x:c r="G318" s="39"/>
      <x:c r="H318" s="39"/>
    </x:row>
    <x:row r="319">
      <x:c r="A319" s="43" t="str">
        <x:v>BS_CASH_TAXONOMY_OTHER</x:v>
      </x:c>
      <x:c r="B319" s="43" t="str">
        <x:v>H3B_ATTEMPT005</x:v>
      </x:c>
      <x:c r="C319" s="43" t="str">
        <x:v>BASE</x:v>
      </x:c>
      <x:c r="D319" s="43" t="str">
        <x:v>RMB_MILLION</x:v>
      </x:c>
      <x:c r="E319" s="43" t="n">
        <x:v>116.87829872</x:v>
      </x:c>
      <x:c r="F319" s="43" t="n">
        <x:v>2030</x:v>
      </x:c>
      <x:c r="G319" s="39"/>
      <x:c r="H319" s="39"/>
    </x:row>
    <x:row r="320">
      <x:c r="A320" s="43" t="str">
        <x:v>BS_CIP</x:v>
      </x:c>
      <x:c r="B320" s="43" t="str">
        <x:v>H3B_ATTEMPT005</x:v>
      </x:c>
      <x:c r="C320" s="43" t="str">
        <x:v>BASE</x:v>
      </x:c>
      <x:c r="D320" s="43" t="str">
        <x:v>RMB_MILLION</x:v>
      </x:c>
      <x:c r="E320" s="43" t="n">
        <x:v>8345.57764755</x:v>
      </x:c>
      <x:c r="F320" s="43" t="n">
        <x:v>2030</x:v>
      </x:c>
      <x:c r="G320" s="39"/>
      <x:c r="H320" s="39"/>
    </x:row>
    <x:row r="321">
      <x:c r="A321" s="43" t="str">
        <x:v>BS_CONTRACT_ASSETS</x:v>
      </x:c>
      <x:c r="B321" s="43" t="str">
        <x:v>H3B_ATTEMPT005</x:v>
      </x:c>
      <x:c r="C321" s="43" t="str">
        <x:v>BASE</x:v>
      </x:c>
      <x:c r="D321" s="43" t="str">
        <x:v>RMB_MILLION</x:v>
      </x:c>
      <x:c r="E321" s="43" t="n">
        <x:v>6211.11182281</x:v>
      </x:c>
      <x:c r="F321" s="43" t="n">
        <x:v>2030</x:v>
      </x:c>
      <x:c r="G321" s="39"/>
      <x:c r="H321" s="39"/>
    </x:row>
    <x:row r="322">
      <x:c r="A322" s="43" t="str">
        <x:v>BS_CONTRACT_LIABILITIES</x:v>
      </x:c>
      <x:c r="B322" s="43" t="str">
        <x:v>H3B_ATTEMPT005</x:v>
      </x:c>
      <x:c r="C322" s="43" t="str">
        <x:v>BASE</x:v>
      </x:c>
      <x:c r="D322" s="43" t="str">
        <x:v>RMB_MILLION</x:v>
      </x:c>
      <x:c r="E322" s="43" t="n">
        <x:v>68379.77794923</x:v>
      </x:c>
      <x:c r="F322" s="43" t="n">
        <x:v>2030</x:v>
      </x:c>
      <x:c r="G322" s="39"/>
      <x:c r="H322" s="39"/>
    </x:row>
    <x:row r="323">
      <x:c r="A323" s="43" t="str">
        <x:v>BS_CURRENT_PORTION_DEBT</x:v>
      </x:c>
      <x:c r="B323" s="43" t="str">
        <x:v>H3B_ATTEMPT005</x:v>
      </x:c>
      <x:c r="C323" s="43" t="str">
        <x:v>BASE</x:v>
      </x:c>
      <x:c r="D323" s="43" t="str">
        <x:v>RMB_MILLION</x:v>
      </x:c>
      <x:c r="E323" s="43" t="n">
        <x:v>0</x:v>
      </x:c>
      <x:c r="F323" s="43" t="n">
        <x:v>2030</x:v>
      </x:c>
      <x:c r="G323" s="39"/>
      <x:c r="H323" s="39"/>
    </x:row>
    <x:row r="324">
      <x:c r="A324" s="43" t="str">
        <x:v>BS_CURRENT_PORTION_NONCURRENT_ASSETS</x:v>
      </x:c>
      <x:c r="B324" s="43" t="str">
        <x:v>H3B_ATTEMPT005</x:v>
      </x:c>
      <x:c r="C324" s="43" t="str">
        <x:v>BASE</x:v>
      </x:c>
      <x:c r="D324" s="43" t="str">
        <x:v>RMB_MILLION</x:v>
      </x:c>
      <x:c r="E324" s="43" t="n">
        <x:v>155734.55874172</x:v>
      </x:c>
      <x:c r="F324" s="43" t="n">
        <x:v>2030</x:v>
      </x:c>
      <x:c r="G324" s="39"/>
      <x:c r="H324" s="39"/>
    </x:row>
    <x:row r="325">
      <x:c r="A325" s="43" t="str">
        <x:v>BS_CURRENT_PORTION_NONCURRENT_ASSETS_FINANCE</x:v>
      </x:c>
      <x:c r="B325" s="43" t="str">
        <x:v>H3B_ATTEMPT005</x:v>
      </x:c>
      <x:c r="C325" s="43" t="str">
        <x:v>BASE</x:v>
      </x:c>
      <x:c r="D325" s="43" t="str">
        <x:v>RMB_MILLION</x:v>
      </x:c>
      <x:c r="E325" s="43" t="n">
        <x:v>372.03074172</x:v>
      </x:c>
      <x:c r="F325" s="43" t="n">
        <x:v>2030</x:v>
      </x:c>
      <x:c r="G325" s="39"/>
      <x:c r="H325" s="39"/>
    </x:row>
    <x:row r="326">
      <x:c r="A326" s="43" t="str">
        <x:v>BS_CURRENT_PORTION_NONCURRENT_ASSETS_TREASURY</x:v>
      </x:c>
      <x:c r="B326" s="43" t="str">
        <x:v>H3B_ATTEMPT005</x:v>
      </x:c>
      <x:c r="C326" s="43" t="str">
        <x:v>BASE</x:v>
      </x:c>
      <x:c r="D326" s="43" t="str">
        <x:v>RMB_MILLION</x:v>
      </x:c>
      <x:c r="E326" s="43" t="n">
        <x:v>155362.528</x:v>
      </x:c>
      <x:c r="F326" s="43" t="n">
        <x:v>2030</x:v>
      </x:c>
      <x:c r="G326" s="39"/>
      <x:c r="H326" s="39"/>
    </x:row>
    <x:row r="327">
      <x:c r="A327" s="43" t="str">
        <x:v>BS_CUSTOMER_DEPOSITS</x:v>
      </x:c>
      <x:c r="B327" s="43" t="str">
        <x:v>H3B_ATTEMPT005</x:v>
      </x:c>
      <x:c r="C327" s="43" t="str">
        <x:v>BASE</x:v>
      </x:c>
      <x:c r="D327" s="43" t="str">
        <x:v>RMB_MILLION</x:v>
      </x:c>
      <x:c r="E327" s="43" t="n">
        <x:v>195.14396425</x:v>
      </x:c>
      <x:c r="F327" s="43" t="n">
        <x:v>2030</x:v>
      </x:c>
      <x:c r="G327" s="39"/>
      <x:c r="H327" s="39"/>
    </x:row>
    <x:row r="328">
      <x:c r="A328" s="43" t="str">
        <x:v>BS_DERIVATIVE_FINANCIAL_ASSETS</x:v>
      </x:c>
      <x:c r="B328" s="43" t="str">
        <x:v>H3B_ATTEMPT005</x:v>
      </x:c>
      <x:c r="C328" s="43" t="str">
        <x:v>BASE</x:v>
      </x:c>
      <x:c r="D328" s="43" t="str">
        <x:v>RMB_MILLION</x:v>
      </x:c>
      <x:c r="E328" s="43" t="n">
        <x:v>3234.92700339</x:v>
      </x:c>
      <x:c r="F328" s="43" t="n">
        <x:v>2030</x:v>
      </x:c>
      <x:c r="G328" s="39"/>
      <x:c r="H328" s="39"/>
    </x:row>
    <x:row r="329">
      <x:c r="A329" s="43" t="str">
        <x:v>BS_DERIVATIVE_LIABILITIES</x:v>
      </x:c>
      <x:c r="B329" s="43" t="str">
        <x:v>H3B_ATTEMPT005</x:v>
      </x:c>
      <x:c r="C329" s="43" t="str">
        <x:v>BASE</x:v>
      </x:c>
      <x:c r="D329" s="43" t="str">
        <x:v>RMB_MILLION</x:v>
      </x:c>
      <x:c r="E329" s="43" t="n">
        <x:v>1238.23363416</x:v>
      </x:c>
      <x:c r="F329" s="43" t="n">
        <x:v>2030</x:v>
      </x:c>
      <x:c r="G329" s="39"/>
      <x:c r="H329" s="39"/>
    </x:row>
    <x:row r="330">
      <x:c r="A330" s="43" t="str">
        <x:v>BS_EMPLOYEE_COMP</x:v>
      </x:c>
      <x:c r="B330" s="43" t="str">
        <x:v>H3B_ATTEMPT005</x:v>
      </x:c>
      <x:c r="C330" s="43" t="str">
        <x:v>BASE</x:v>
      </x:c>
      <x:c r="D330" s="43" t="str">
        <x:v>RMB_MILLION</x:v>
      </x:c>
      <x:c r="E330" s="43" t="n">
        <x:v>14035.1232144</x:v>
      </x:c>
      <x:c r="F330" s="43" t="n">
        <x:v>2030</x:v>
      </x:c>
      <x:c r="G330" s="39"/>
      <x:c r="H330" s="39"/>
    </x:row>
    <x:row r="331">
      <x:c r="A331" s="43" t="str">
        <x:v>BS_GOODWILL</x:v>
      </x:c>
      <x:c r="B331" s="43" t="str">
        <x:v>H3B_ATTEMPT005</x:v>
      </x:c>
      <x:c r="C331" s="43" t="str">
        <x:v>BASE</x:v>
      </x:c>
      <x:c r="D331" s="43" t="str">
        <x:v>RMB_MILLION</x:v>
      </x:c>
      <x:c r="E331" s="43" t="n">
        <x:v>49847.28408106</x:v>
      </x:c>
      <x:c r="F331" s="43" t="n">
        <x:v>2030</x:v>
      </x:c>
      <x:c r="G331" s="39"/>
      <x:c r="H331" s="39"/>
    </x:row>
    <x:row r="332">
      <x:c r="A332" s="43" t="str">
        <x:v>BS_INCOME_TAX_PAYABLE</x:v>
      </x:c>
      <x:c r="B332" s="43" t="str">
        <x:v>H3B_ATTEMPT005</x:v>
      </x:c>
      <x:c r="C332" s="43" t="str">
        <x:v>BASE</x:v>
      </x:c>
      <x:c r="D332" s="43" t="str">
        <x:v>RMB_MILLION</x:v>
      </x:c>
      <x:c r="E332" s="43" t="n">
        <x:v>6526.46190806</x:v>
      </x:c>
      <x:c r="F332" s="43" t="n">
        <x:v>2030</x:v>
      </x:c>
      <x:c r="G332" s="39"/>
      <x:c r="H332" s="39"/>
    </x:row>
    <x:row r="333">
      <x:c r="A333" s="43" t="str">
        <x:v>BS_INTANGIBLES</x:v>
      </x:c>
      <x:c r="B333" s="43" t="str">
        <x:v>H3B_ATTEMPT005</x:v>
      </x:c>
      <x:c r="C333" s="43" t="str">
        <x:v>BASE</x:v>
      </x:c>
      <x:c r="D333" s="43" t="str">
        <x:v>RMB_MILLION</x:v>
      </x:c>
      <x:c r="E333" s="43" t="n">
        <x:v>32698.07883083</x:v>
      </x:c>
      <x:c r="F333" s="43" t="n">
        <x:v>2030</x:v>
      </x:c>
      <x:c r="G333" s="39"/>
      <x:c r="H333" s="39"/>
    </x:row>
    <x:row r="334">
      <x:c r="A334" s="43" t="str">
        <x:v>BS_INVENTORY</x:v>
      </x:c>
      <x:c r="B334" s="43" t="str">
        <x:v>H3B_ATTEMPT005</x:v>
      </x:c>
      <x:c r="C334" s="43" t="str">
        <x:v>BASE</x:v>
      </x:c>
      <x:c r="D334" s="43" t="str">
        <x:v>RMB_MILLION</x:v>
      </x:c>
      <x:c r="E334" s="43" t="n">
        <x:v>85123.07970898</x:v>
      </x:c>
      <x:c r="F334" s="43" t="n">
        <x:v>2030</x:v>
      </x:c>
      <x:c r="G334" s="39"/>
      <x:c r="H334" s="39"/>
    </x:row>
    <x:row r="335">
      <x:c r="A335" s="43" t="str">
        <x:v>BS_LOANS_ADVANCES_CURRENT</x:v>
      </x:c>
      <x:c r="B335" s="43" t="str">
        <x:v>H3B_ATTEMPT005</x:v>
      </x:c>
      <x:c r="C335" s="43" t="str">
        <x:v>BASE</x:v>
      </x:c>
      <x:c r="D335" s="43" t="str">
        <x:v>RMB_MILLION</x:v>
      </x:c>
      <x:c r="E335" s="43" t="n">
        <x:v>17139.98285866</x:v>
      </x:c>
      <x:c r="F335" s="43" t="n">
        <x:v>2030</x:v>
      </x:c>
      <x:c r="G335" s="39"/>
      <x:c r="H335" s="39"/>
    </x:row>
    <x:row r="336">
      <x:c r="A336" s="43" t="str">
        <x:v>BS_LONG_TERM_BORROWINGS</x:v>
      </x:c>
      <x:c r="B336" s="43" t="str">
        <x:v>H3B_ATTEMPT005</x:v>
      </x:c>
      <x:c r="C336" s="43" t="str">
        <x:v>BASE</x:v>
      </x:c>
      <x:c r="D336" s="43" t="str">
        <x:v>RMB_MILLION</x:v>
      </x:c>
      <x:c r="E336" s="43" t="n">
        <x:v>26472.29437509</x:v>
      </x:c>
      <x:c r="F336" s="43" t="n">
        <x:v>2030</x:v>
      </x:c>
      <x:c r="G336" s="39"/>
      <x:c r="H336" s="39"/>
    </x:row>
    <x:row r="337">
      <x:c r="A337" s="43" t="str">
        <x:v>BS_LONG_TERM_INVESTMENTS</x:v>
      </x:c>
      <x:c r="B337" s="43" t="str">
        <x:v>H3B_ATTEMPT005</x:v>
      </x:c>
      <x:c r="C337" s="43" t="str">
        <x:v>BASE</x:v>
      </x:c>
      <x:c r="D337" s="43" t="str">
        <x:v>RMB_MILLION</x:v>
      </x:c>
      <x:c r="E337" s="43" t="n">
        <x:v>6948.18444293</x:v>
      </x:c>
      <x:c r="F337" s="43" t="n">
        <x:v>2030</x:v>
      </x:c>
      <x:c r="G337" s="39"/>
      <x:c r="H337" s="39"/>
    </x:row>
    <x:row r="338">
      <x:c r="A338" s="43" t="str">
        <x:v>BS_NCI</x:v>
      </x:c>
      <x:c r="B338" s="43" t="str">
        <x:v>H3B_ATTEMPT005</x:v>
      </x:c>
      <x:c r="C338" s="43" t="str">
        <x:v>BASE</x:v>
      </x:c>
      <x:c r="D338" s="43" t="str">
        <x:v>RMB_MILLION</x:v>
      </x:c>
      <x:c r="E338" s="43" t="n">
        <x:v>16393.54389495</x:v>
      </x:c>
      <x:c r="F338" s="43" t="n">
        <x:v>2030</x:v>
      </x:c>
      <x:c r="G338" s="39"/>
      <x:c r="H338" s="39"/>
    </x:row>
    <x:row r="339">
      <x:c r="A339" s="43" t="str">
        <x:v>BS_NOTES_PAYABLE</x:v>
      </x:c>
      <x:c r="B339" s="43" t="str">
        <x:v>H3B_ATTEMPT005</x:v>
      </x:c>
      <x:c r="C339" s="43" t="str">
        <x:v>BASE</x:v>
      </x:c>
      <x:c r="D339" s="43" t="str">
        <x:v>RMB_MILLION</x:v>
      </x:c>
      <x:c r="E339" s="43" t="n">
        <x:v>39465.15081898</x:v>
      </x:c>
      <x:c r="F339" s="43" t="n">
        <x:v>2030</x:v>
      </x:c>
      <x:c r="G339" s="39"/>
      <x:c r="H339" s="39"/>
    </x:row>
    <x:row r="340">
      <x:c r="A340" s="43" t="str">
        <x:v>BS_NOTES_RECEIVABLE</x:v>
      </x:c>
      <x:c r="B340" s="43" t="str">
        <x:v>H3B_ATTEMPT005</x:v>
      </x:c>
      <x:c r="C340" s="43" t="str">
        <x:v>BASE</x:v>
      </x:c>
      <x:c r="D340" s="43" t="str">
        <x:v>RMB_MILLION</x:v>
      </x:c>
      <x:c r="E340" s="43" t="n">
        <x:v>7634.58452998</x:v>
      </x:c>
      <x:c r="F340" s="43" t="n">
        <x:v>2030</x:v>
      </x:c>
      <x:c r="G340" s="39"/>
      <x:c r="H340" s="39"/>
    </x:row>
    <x:row r="341">
      <x:c r="A341" s="43" t="str">
        <x:v>BS_OTHER_CURRENT_ASSETS</x:v>
      </x:c>
      <x:c r="B341" s="43" t="str">
        <x:v>H3B_ATTEMPT005</x:v>
      </x:c>
      <x:c r="C341" s="43" t="str">
        <x:v>BASE</x:v>
      </x:c>
      <x:c r="D341" s="43" t="str">
        <x:v>RMB_MILLION</x:v>
      </x:c>
      <x:c r="E341" s="43" t="n">
        <x:v>36275.90995991</x:v>
      </x:c>
      <x:c r="F341" s="43" t="n">
        <x:v>2030</x:v>
      </x:c>
      <x:c r="G341" s="39"/>
      <x:c r="H341" s="39"/>
    </x:row>
    <x:row r="342">
      <x:c r="A342" s="43" t="str">
        <x:v>BS_OTHER_CURRENT_ASSETS_HEDGE</x:v>
      </x:c>
      <x:c r="B342" s="43" t="str">
        <x:v>H3B_ATTEMPT005</x:v>
      </x:c>
      <x:c r="C342" s="43" t="str">
        <x:v>BASE</x:v>
      </x:c>
      <x:c r="D342" s="43" t="str">
        <x:v>RMB_MILLION</x:v>
      </x:c>
      <x:c r="E342" s="43" t="n">
        <x:v>4658.36187786</x:v>
      </x:c>
      <x:c r="F342" s="43" t="n">
        <x:v>2030</x:v>
      </x:c>
      <x:c r="G342" s="39"/>
      <x:c r="H342" s="39"/>
    </x:row>
    <x:row r="343">
      <x:c r="A343" s="43" t="str">
        <x:v>BS_OTHER_CURRENT_ASSETS_OPERATING</x:v>
      </x:c>
      <x:c r="B343" s="43" t="str">
        <x:v>H3B_ATTEMPT005</x:v>
      </x:c>
      <x:c r="C343" s="43" t="str">
        <x:v>BASE</x:v>
      </x:c>
      <x:c r="D343" s="43" t="str">
        <x:v>RMB_MILLION</x:v>
      </x:c>
      <x:c r="E343" s="43" t="n">
        <x:v>30190.41408205</x:v>
      </x:c>
      <x:c r="F343" s="43" t="n">
        <x:v>2030</x:v>
      </x:c>
      <x:c r="G343" s="39"/>
      <x:c r="H343" s="39"/>
    </x:row>
    <x:row r="344">
      <x:c r="A344" s="43" t="str">
        <x:v>BS_OTHER_CURRENT_ASSETS_TREASURY</x:v>
      </x:c>
      <x:c r="B344" s="43" t="str">
        <x:v>H3B_ATTEMPT005</x:v>
      </x:c>
      <x:c r="C344" s="43" t="str">
        <x:v>BASE</x:v>
      </x:c>
      <x:c r="D344" s="43" t="str">
        <x:v>RMB_MILLION</x:v>
      </x:c>
      <x:c r="E344" s="43" t="n">
        <x:v>1427.134</x:v>
      </x:c>
      <x:c r="F344" s="43" t="n">
        <x:v>2030</x:v>
      </x:c>
      <x:c r="G344" s="39"/>
      <x:c r="H344" s="39"/>
    </x:row>
    <x:row r="345">
      <x:c r="A345" s="43" t="str">
        <x:v>BS_OTHER_CURRENT_LIABILITIES</x:v>
      </x:c>
      <x:c r="B345" s="43" t="str">
        <x:v>H3B_ATTEMPT005</x:v>
      </x:c>
      <x:c r="C345" s="43" t="str">
        <x:v>BASE</x:v>
      </x:c>
      <x:c r="D345" s="43" t="str">
        <x:v>RMB_MILLION</x:v>
      </x:c>
      <x:c r="E345" s="43" t="n">
        <x:v>134651.54563706</x:v>
      </x:c>
      <x:c r="F345" s="43" t="n">
        <x:v>2030</x:v>
      </x:c>
      <x:c r="G345" s="39"/>
      <x:c r="H345" s="39"/>
    </x:row>
    <x:row r="346">
      <x:c r="A346" s="43" t="str">
        <x:v>BS_OTHER_CURRENT_LIABILITIES_HEDGE</x:v>
      </x:c>
      <x:c r="B346" s="43" t="str">
        <x:v>H3B_ATTEMPT005</x:v>
      </x:c>
      <x:c r="C346" s="43" t="str">
        <x:v>BASE</x:v>
      </x:c>
      <x:c r="D346" s="43" t="str">
        <x:v>RMB_MILLION</x:v>
      </x:c>
      <x:c r="E346" s="43" t="n">
        <x:v>31.2556286</x:v>
      </x:c>
      <x:c r="F346" s="43" t="n">
        <x:v>2030</x:v>
      </x:c>
      <x:c r="G346" s="39"/>
      <x:c r="H346" s="39"/>
    </x:row>
    <x:row r="347">
      <x:c r="A347" s="43" t="str">
        <x:v>BS_OTHER_CURRENT_LIABILITIES_OPERATING</x:v>
      </x:c>
      <x:c r="B347" s="43" t="str">
        <x:v>H3B_ATTEMPT005</x:v>
      </x:c>
      <x:c r="C347" s="43" t="str">
        <x:v>BASE</x:v>
      </x:c>
      <x:c r="D347" s="43" t="str">
        <x:v>RMB_MILLION</x:v>
      </x:c>
      <x:c r="E347" s="43" t="n">
        <x:v>134620.29000846</x:v>
      </x:c>
      <x:c r="F347" s="43" t="n">
        <x:v>2030</x:v>
      </x:c>
      <x:c r="G347" s="39"/>
      <x:c r="H347" s="39"/>
    </x:row>
    <x:row r="348">
      <x:c r="A348" s="43" t="str">
        <x:v>BS_OTHER_NONCURRENT_FINANCIAL_ASSETS</x:v>
      </x:c>
      <x:c r="B348" s="43" t="str">
        <x:v>H3B_ATTEMPT005</x:v>
      </x:c>
      <x:c r="C348" s="43" t="str">
        <x:v>BASE</x:v>
      </x:c>
      <x:c r="D348" s="43" t="str">
        <x:v>RMB_MILLION</x:v>
      </x:c>
      <x:c r="E348" s="43" t="n">
        <x:v>6964.25606388</x:v>
      </x:c>
      <x:c r="F348" s="43" t="n">
        <x:v>2030</x:v>
      </x:c>
      <x:c r="G348" s="39"/>
      <x:c r="H348" s="39"/>
    </x:row>
    <x:row r="349">
      <x:c r="A349" s="43" t="str">
        <x:v>BS_OTHER_PAYABLES</x:v>
      </x:c>
      <x:c r="B349" s="43" t="str">
        <x:v>H3B_ATTEMPT005</x:v>
      </x:c>
      <x:c r="C349" s="43" t="str">
        <x:v>BASE</x:v>
      </x:c>
      <x:c r="D349" s="43" t="str">
        <x:v>RMB_MILLION</x:v>
      </x:c>
      <x:c r="E349" s="43" t="n">
        <x:v>7018.65802788</x:v>
      </x:c>
      <x:c r="F349" s="43" t="n">
        <x:v>2030</x:v>
      </x:c>
      <x:c r="G349" s="39"/>
      <x:c r="H349" s="39"/>
    </x:row>
    <x:row r="350">
      <x:c r="A350" s="43" t="str">
        <x:v>BS_OTHER_RECEIVABLES</x:v>
      </x:c>
      <x:c r="B350" s="43" t="str">
        <x:v>H3B_ATTEMPT005</x:v>
      </x:c>
      <x:c r="C350" s="43" t="str">
        <x:v>BASE</x:v>
      </x:c>
      <x:c r="D350" s="43" t="str">
        <x:v>RMB_MILLION</x:v>
      </x:c>
      <x:c r="E350" s="43" t="n">
        <x:v>4642.64093691</x:v>
      </x:c>
      <x:c r="F350" s="43" t="n">
        <x:v>2030</x:v>
      </x:c>
      <x:c r="G350" s="39"/>
      <x:c r="H350" s="39"/>
    </x:row>
    <x:row r="351">
      <x:c r="A351" s="43" t="str">
        <x:v>BS_OTHER_RESERVES</x:v>
      </x:c>
      <x:c r="B351" s="43" t="str">
        <x:v>H3B_ATTEMPT005</x:v>
      </x:c>
      <x:c r="C351" s="43" t="str">
        <x:v>BASE</x:v>
      </x:c>
      <x:c r="D351" s="43" t="str">
        <x:v>RMB_MILLION</x:v>
      </x:c>
      <x:c r="E351" s="43" t="n">
        <x:v>11196.537</x:v>
      </x:c>
      <x:c r="F351" s="43" t="n">
        <x:v>2030</x:v>
      </x:c>
      <x:c r="G351" s="39"/>
      <x:c r="H351" s="39"/>
    </x:row>
    <x:row r="352">
      <x:c r="A352" s="43" t="str">
        <x:v>BS_OTHER_TAXES_PAYABLE</x:v>
      </x:c>
      <x:c r="B352" s="43" t="str">
        <x:v>H3B_ATTEMPT005</x:v>
      </x:c>
      <x:c r="C352" s="43" t="str">
        <x:v>BASE</x:v>
      </x:c>
      <x:c r="D352" s="43" t="str">
        <x:v>RMB_MILLION</x:v>
      </x:c>
      <x:c r="E352" s="43" t="n">
        <x:v>3898.03669977</x:v>
      </x:c>
      <x:c r="F352" s="43" t="n">
        <x:v>2030</x:v>
      </x:c>
      <x:c r="G352" s="39"/>
      <x:c r="H352" s="39"/>
    </x:row>
    <x:row r="353">
      <x:c r="A353" s="43" t="str">
        <x:v>BS_PARENT_EQUITY</x:v>
      </x:c>
      <x:c r="B353" s="43" t="str">
        <x:v>H3B_ATTEMPT005</x:v>
      </x:c>
      <x:c r="C353" s="43" t="str">
        <x:v>BASE</x:v>
      </x:c>
      <x:c r="D353" s="43" t="str">
        <x:v>RMB_MILLION</x:v>
      </x:c>
      <x:c r="E353" s="43" t="n">
        <x:v>297985.14384957</x:v>
      </x:c>
      <x:c r="F353" s="43" t="n">
        <x:v>2030</x:v>
      </x:c>
      <x:c r="G353" s="39"/>
      <x:c r="H353" s="39"/>
    </x:row>
    <x:row r="354">
      <x:c r="A354" s="43" t="str">
        <x:v>BS_PPE</x:v>
      </x:c>
      <x:c r="B354" s="43" t="str">
        <x:v>H3B_ATTEMPT005</x:v>
      </x:c>
      <x:c r="C354" s="43" t="str">
        <x:v>BASE</x:v>
      </x:c>
      <x:c r="D354" s="43" t="str">
        <x:v>RMB_MILLION</x:v>
      </x:c>
      <x:c r="E354" s="43" t="n">
        <x:v>55292.03077955</x:v>
      </x:c>
      <x:c r="F354" s="43" t="n">
        <x:v>2030</x:v>
      </x:c>
      <x:c r="G354" s="39"/>
      <x:c r="H354" s="39"/>
    </x:row>
    <x:row r="355">
      <x:c r="A355" s="43" t="str">
        <x:v>BS_PREPAYMENTS</x:v>
      </x:c>
      <x:c r="B355" s="43" t="str">
        <x:v>H3B_ATTEMPT005</x:v>
      </x:c>
      <x:c r="C355" s="43" t="str">
        <x:v>BASE</x:v>
      </x:c>
      <x:c r="D355" s="43" t="str">
        <x:v>RMB_MILLION</x:v>
      </x:c>
      <x:c r="E355" s="43" t="n">
        <x:v>4346.81979913</x:v>
      </x:c>
      <x:c r="F355" s="43" t="n">
        <x:v>2030</x:v>
      </x:c>
      <x:c r="G355" s="39"/>
      <x:c r="H355" s="39"/>
    </x:row>
    <x:row r="356">
      <x:c r="A356" s="43" t="str">
        <x:v>BS_RECEIVABLES_FINANCING</x:v>
      </x:c>
      <x:c r="B356" s="43" t="str">
        <x:v>H3B_ATTEMPT005</x:v>
      </x:c>
      <x:c r="C356" s="43" t="str">
        <x:v>BASE</x:v>
      </x:c>
      <x:c r="D356" s="43" t="str">
        <x:v>RMB_MILLION</x:v>
      </x:c>
      <x:c r="E356" s="43" t="n">
        <x:v>21732.47509984</x:v>
      </x:c>
      <x:c r="F356" s="43" t="n">
        <x:v>2030</x:v>
      </x:c>
      <x:c r="G356" s="39"/>
      <x:c r="H356" s="39"/>
    </x:row>
    <x:row r="357">
      <x:c r="A357" s="43" t="str">
        <x:v>BS_RESTRICTED_CASH</x:v>
      </x:c>
      <x:c r="B357" s="43" t="str">
        <x:v>H3B_ATTEMPT005</x:v>
      </x:c>
      <x:c r="C357" s="43" t="str">
        <x:v>BASE</x:v>
      </x:c>
      <x:c r="D357" s="43" t="str">
        <x:v>RMB_MILLION</x:v>
      </x:c>
      <x:c r="E357" s="43" t="n">
        <x:v>6861.60722476</x:v>
      </x:c>
      <x:c r="F357" s="43" t="n">
        <x:v>2030</x:v>
      </x:c>
      <x:c r="G357" s="39"/>
      <x:c r="H357" s="39"/>
    </x:row>
    <x:row r="358">
      <x:c r="A358" s="43" t="str">
        <x:v>BS_RETAINED_EARNINGS</x:v>
      </x:c>
      <x:c r="B358" s="43" t="str">
        <x:v>H3B_ATTEMPT005</x:v>
      </x:c>
      <x:c r="C358" s="43" t="str">
        <x:v>BASE</x:v>
      </x:c>
      <x:c r="D358" s="43" t="str">
        <x:v>RMB_MILLION</x:v>
      </x:c>
      <x:c r="E358" s="43" t="n">
        <x:v>241991.85884957</x:v>
      </x:c>
      <x:c r="F358" s="43" t="n">
        <x:v>2030</x:v>
      </x:c>
      <x:c r="G358" s="39"/>
      <x:c r="H358" s="39"/>
    </x:row>
    <x:row r="359">
      <x:c r="A359" s="43" t="str">
        <x:v>BS_SHARE_CAPITAL</x:v>
      </x:c>
      <x:c r="B359" s="43" t="str">
        <x:v>H3B_ATTEMPT005</x:v>
      </x:c>
      <x:c r="C359" s="43" t="str">
        <x:v>BASE</x:v>
      </x:c>
      <x:c r="D359" s="43" t="str">
        <x:v>RMB_MILLION</x:v>
      </x:c>
      <x:c r="E359" s="43" t="n">
        <x:v>7597.145</x:v>
      </x:c>
      <x:c r="F359" s="43" t="n">
        <x:v>2030</x:v>
      </x:c>
      <x:c r="G359" s="39"/>
      <x:c r="H359" s="39"/>
    </x:row>
    <x:row r="360">
      <x:c r="A360" s="43" t="str">
        <x:v>BS_SHORT_TERM_BORROWING</x:v>
      </x:c>
      <x:c r="B360" s="43" t="str">
        <x:v>H3B_ATTEMPT005</x:v>
      </x:c>
      <x:c r="C360" s="43" t="str">
        <x:v>BASE</x:v>
      </x:c>
      <x:c r="D360" s="43" t="str">
        <x:v>RMB_MILLION</x:v>
      </x:c>
      <x:c r="E360" s="43" t="n">
        <x:v>63885.67545848</x:v>
      </x:c>
      <x:c r="F360" s="43" t="n">
        <x:v>2030</x:v>
      </x:c>
      <x:c r="G360" s="39"/>
      <x:c r="H360" s="39"/>
    </x:row>
    <x:row r="361">
      <x:c r="A361" s="43" t="str">
        <x:v>BS_TAXES_PAYABLE</x:v>
      </x:c>
      <x:c r="B361" s="43" t="str">
        <x:v>H3B_ATTEMPT005</x:v>
      </x:c>
      <x:c r="C361" s="43" t="str">
        <x:v>BASE</x:v>
      </x:c>
      <x:c r="D361" s="43" t="str">
        <x:v>RMB_MILLION</x:v>
      </x:c>
      <x:c r="E361" s="43" t="n">
        <x:v>10424.49860783</x:v>
      </x:c>
      <x:c r="F361" s="43" t="n">
        <x:v>2030</x:v>
      </x:c>
      <x:c r="G361" s="39"/>
      <x:c r="H361" s="39"/>
    </x:row>
    <x:row r="362">
      <x:c r="A362" s="43" t="str">
        <x:v>BS_TERM_DEPOSITS</x:v>
      </x:c>
      <x:c r="B362" s="43" t="str">
        <x:v>H3B_ATTEMPT005</x:v>
      </x:c>
      <x:c r="C362" s="43" t="str">
        <x:v>BASE</x:v>
      </x:c>
      <x:c r="D362" s="43" t="str">
        <x:v>RMB_MILLION</x:v>
      </x:c>
      <x:c r="E362" s="43" t="n">
        <x:v>17377.7395363</x:v>
      </x:c>
      <x:c r="F362" s="43" t="n">
        <x:v>2030</x:v>
      </x:c>
      <x:c r="G362" s="39"/>
      <x:c r="H362" s="39"/>
    </x:row>
    <x:row r="363">
      <x:c r="A363" s="43" t="str">
        <x:v>BS_TOTAL_ASSETS</x:v>
      </x:c>
      <x:c r="B363" s="43" t="str">
        <x:v>H3B_ATTEMPT005</x:v>
      </x:c>
      <x:c r="C363" s="43" t="str">
        <x:v>BASE</x:v>
      </x:c>
      <x:c r="D363" s="43" t="str">
        <x:v>RMB_MILLION</x:v>
      </x:c>
      <x:c r="E363" s="43" t="n">
        <x:v>833156.55143927</x:v>
      </x:c>
      <x:c r="F363" s="43" t="n">
        <x:v>2030</x:v>
      </x:c>
      <x:c r="G363" s="39"/>
      <x:c r="H363" s="39"/>
    </x:row>
    <x:row r="364">
      <x:c r="A364" s="43" t="str">
        <x:v>BS_TOTAL_CURRENT_ASSETS</x:v>
      </x:c>
      <x:c r="B364" s="43" t="str">
        <x:v>H3B_ATTEMPT005</x:v>
      </x:c>
      <x:c r="C364" s="43" t="str">
        <x:v>BASE</x:v>
      </x:c>
      <x:c r="D364" s="43" t="str">
        <x:v>RMB_MILLION</x:v>
      </x:c>
      <x:c r="E364" s="43" t="n">
        <x:v>558610.89829995</x:v>
      </x:c>
      <x:c r="F364" s="43" t="n">
        <x:v>2030</x:v>
      </x:c>
      <x:c r="G364" s="39"/>
      <x:c r="H364" s="39"/>
    </x:row>
    <x:row r="365">
      <x:c r="A365" s="43" t="str">
        <x:v>BS_TOTAL_CURRENT_ASSETS_OTHER_IMMATERIAL_COMPONENTS</x:v>
      </x:c>
      <x:c r="B365" s="43" t="str">
        <x:v>H3B_ATTEMPT005</x:v>
      </x:c>
      <x:c r="C365" s="43" t="str">
        <x:v>BASE</x:v>
      </x:c>
      <x:c r="D365" s="43" t="str">
        <x:v>RMB_MILLION</x:v>
      </x:c>
      <x:c r="E365" s="43" t="n">
        <x:v>0</x:v>
      </x:c>
      <x:c r="F365" s="43" t="n">
        <x:v>2030</x:v>
      </x:c>
      <x:c r="G365" s="39"/>
      <x:c r="H365" s="39"/>
    </x:row>
    <x:row r="366">
      <x:c r="A366" s="43" t="str">
        <x:v>BS_TOTAL_CURRENT_LIABILITIES</x:v>
      </x:c>
      <x:c r="B366" s="43" t="str">
        <x:v>H3B_ATTEMPT005</x:v>
      </x:c>
      <x:c r="C366" s="43" t="str">
        <x:v>BASE</x:v>
      </x:c>
      <x:c r="D366" s="43" t="str">
        <x:v>RMB_MILLION</x:v>
      </x:c>
      <x:c r="E366" s="43" t="n">
        <x:v>468551.00055948</x:v>
      </x:c>
      <x:c r="F366" s="43" t="n">
        <x:v>2030</x:v>
      </x:c>
      <x:c r="G366" s="39"/>
      <x:c r="H366" s="39"/>
    </x:row>
    <x:row r="367">
      <x:c r="A367" s="43" t="str">
        <x:v>BS_TOTAL_CURRENT_LIABILITIES_OTHER_IMMATERIAL_COMPONENTS</x:v>
      </x:c>
      <x:c r="B367" s="43" t="str">
        <x:v>H3B_ATTEMPT005</x:v>
      </x:c>
      <x:c r="C367" s="43" t="str">
        <x:v>BASE</x:v>
      </x:c>
      <x:c r="D367" s="43" t="str">
        <x:v>RMB_MILLION</x:v>
      </x:c>
      <x:c r="E367" s="43" t="n">
        <x:v>0</x:v>
      </x:c>
      <x:c r="F367" s="43" t="n">
        <x:v>2030</x:v>
      </x:c>
      <x:c r="G367" s="39"/>
      <x:c r="H367" s="39"/>
    </x:row>
    <x:row r="368">
      <x:c r="A368" s="43" t="str">
        <x:v>BS_TOTAL_EQUITY</x:v>
      </x:c>
      <x:c r="B368" s="43" t="str">
        <x:v>H3B_ATTEMPT005</x:v>
      </x:c>
      <x:c r="C368" s="43" t="str">
        <x:v>BASE</x:v>
      </x:c>
      <x:c r="D368" s="43" t="str">
        <x:v>RMB_MILLION</x:v>
      </x:c>
      <x:c r="E368" s="43" t="n">
        <x:v>314378.68774452</x:v>
      </x:c>
      <x:c r="F368" s="43" t="n">
        <x:v>2030</x:v>
      </x:c>
      <x:c r="G368" s="39"/>
      <x:c r="H368" s="39"/>
    </x:row>
    <x:row r="369">
      <x:c r="A369" s="43" t="str">
        <x:v>BS_TOTAL_LIABILITIES</x:v>
      </x:c>
      <x:c r="B369" s="43" t="str">
        <x:v>H3B_ATTEMPT005</x:v>
      </x:c>
      <x:c r="C369" s="43" t="str">
        <x:v>BASE</x:v>
      </x:c>
      <x:c r="D369" s="43" t="str">
        <x:v>RMB_MILLION</x:v>
      </x:c>
      <x:c r="E369" s="43" t="n">
        <x:v>518777.86369475</x:v>
      </x:c>
      <x:c r="F369" s="43" t="n">
        <x:v>2030</x:v>
      </x:c>
      <x:c r="G369" s="39"/>
      <x:c r="H369" s="39"/>
    </x:row>
    <x:row r="370">
      <x:c r="A370" s="43" t="str">
        <x:v>BS_TOTAL_NONCURRENT_ASSETS</x:v>
      </x:c>
      <x:c r="B370" s="43" t="str">
        <x:v>H3B_ATTEMPT005</x:v>
      </x:c>
      <x:c r="C370" s="43" t="str">
        <x:v>BASE</x:v>
      </x:c>
      <x:c r="D370" s="43" t="str">
        <x:v>RMB_MILLION</x:v>
      </x:c>
      <x:c r="E370" s="43" t="n">
        <x:v>274545.65313932</x:v>
      </x:c>
      <x:c r="F370" s="43" t="n">
        <x:v>2030</x:v>
      </x:c>
      <x:c r="G370" s="39"/>
      <x:c r="H370" s="39"/>
    </x:row>
    <x:row r="371">
      <x:c r="A371" s="43" t="str">
        <x:v>BS_TOTAL_NONCURRENT_ASSETS_OTHER_IMMATERIAL_COMPONENTS</x:v>
      </x:c>
      <x:c r="B371" s="43" t="str">
        <x:v>H3B_ATTEMPT005</x:v>
      </x:c>
      <x:c r="C371" s="43" t="str">
        <x:v>BASE</x:v>
      </x:c>
      <x:c r="D371" s="43" t="str">
        <x:v>RMB_MILLION</x:v>
      </x:c>
      <x:c r="E371" s="43" t="n">
        <x:v>114450.24129352</x:v>
      </x:c>
      <x:c r="F371" s="43" t="n">
        <x:v>2030</x:v>
      </x:c>
      <x:c r="G371" s="39"/>
      <x:c r="H371" s="39"/>
    </x:row>
    <x:row r="372">
      <x:c r="A372" s="43" t="str">
        <x:v>BS_TOTAL_NONCURRENT_LIABILITIES</x:v>
      </x:c>
      <x:c r="B372" s="43" t="str">
        <x:v>H3B_ATTEMPT005</x:v>
      </x:c>
      <x:c r="C372" s="43" t="str">
        <x:v>BASE</x:v>
      </x:c>
      <x:c r="D372" s="43" t="str">
        <x:v>RMB_MILLION</x:v>
      </x:c>
      <x:c r="E372" s="43" t="n">
        <x:v>50226.86313527</x:v>
      </x:c>
      <x:c r="F372" s="43" t="n">
        <x:v>2030</x:v>
      </x:c>
      <x:c r="G372" s="39"/>
      <x:c r="H372" s="39"/>
    </x:row>
    <x:row r="373">
      <x:c r="A373" s="43" t="str">
        <x:v>BS_TOTAL_NONCURRENT_LIABILITIES_OTHER_IMMATERIAL_COMPONENTS</x:v>
      </x:c>
      <x:c r="B373" s="43" t="str">
        <x:v>H3B_ATTEMPT005</x:v>
      </x:c>
      <x:c r="C373" s="43" t="str">
        <x:v>BASE</x:v>
      </x:c>
      <x:c r="D373" s="43" t="str">
        <x:v>RMB_MILLION</x:v>
      </x:c>
      <x:c r="E373" s="43" t="n">
        <x:v>23754.56876018</x:v>
      </x:c>
      <x:c r="F373" s="43" t="n">
        <x:v>2030</x:v>
      </x:c>
      <x:c r="G373" s="39"/>
      <x:c r="H373" s="39"/>
    </x:row>
    <x:row r="374">
      <x:c r="A374" s="43" t="str">
        <x:v>BS_TRADING_FINANCIAL_ASSETS</x:v>
      </x:c>
      <x:c r="B374" s="43" t="str">
        <x:v>H3B_ATTEMPT005</x:v>
      </x:c>
      <x:c r="C374" s="43" t="str">
        <x:v>BASE</x:v>
      </x:c>
      <x:c r="D374" s="43" t="str">
        <x:v>RMB_MILLION</x:v>
      </x:c>
      <x:c r="E374" s="43" t="n">
        <x:v>1034.16697369</x:v>
      </x:c>
      <x:c r="F374" s="43" t="n">
        <x:v>2030</x:v>
      </x:c>
      <x:c r="G374" s="39"/>
      <x:c r="H374" s="39"/>
    </x:row>
    <x:row r="375">
      <x:c r="A375" s="43" t="str">
        <x:v>BS_TRADING_FINANCIAL_LIABILITIES</x:v>
      </x:c>
      <x:c r="B375" s="43" t="str">
        <x:v>H3B_ATTEMPT005</x:v>
      </x:c>
      <x:c r="C375" s="43" t="str">
        <x:v>BASE</x:v>
      </x:c>
      <x:c r="D375" s="43" t="str">
        <x:v>RMB_MILLION</x:v>
      </x:c>
      <x:c r="E375" s="43" t="n">
        <x:v>1027.94203984</x:v>
      </x:c>
      <x:c r="F375" s="43" t="n">
        <x:v>2030</x:v>
      </x:c>
      <x:c r="G375" s="39"/>
      <x:c r="H375" s="39"/>
    </x:row>
    <x:row r="376">
      <x:c r="A376" s="43" t="str">
        <x:v>BS_TREASURY_SHARES</x:v>
      </x:c>
      <x:c r="B376" s="43" t="str">
        <x:v>H3B_ATTEMPT005</x:v>
      </x:c>
      <x:c r="C376" s="43" t="str">
        <x:v>BASE</x:v>
      </x:c>
      <x:c r="D376" s="43" t="str">
        <x:v>RMB_MILLION</x:v>
      </x:c>
      <x:c r="E376" s="43" t="n">
        <x:v>-8151.117</x:v>
      </x:c>
      <x:c r="F376" s="43" t="n">
        <x:v>2030</x:v>
      </x:c>
      <x:c r="G376" s="39"/>
      <x:c r="H376" s="39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.8799991607666" hidden="0" customWidth="1"/>
    <x:col min="2" max="2" width="14.380000114440918" hidden="0" customWidth="1"/>
    <x:col min="3" max="3" width="7.130000114440918" hidden="0" customWidth="1"/>
    <x:col min="4" max="4" width="11.5" hidden="0" customWidth="1"/>
    <x:col min="5" max="5" width="10.880000114440918" hidden="0" customWidth="1"/>
    <x:col min="6" max="6" width="4.25" hidden="0" customWidth="1"/>
  </x:cols>
  <x:sheetData>
    <x:row r="1">
      <x:c r="A1" s="37" t="str">
        <x:v>Cash Flow</x:v>
      </x:c>
      <x:c r="B1" s="37"/>
      <x:c r="C1" s="37"/>
      <x:c r="D1" s="37"/>
      <x:c r="E1" s="37"/>
      <x:c r="F1" s="37"/>
      <x:c r="G1" s="37"/>
      <x:c r="H1" s="37"/>
    </x:row>
    <x:row r="2">
      <x:c r="A2" s="39"/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2" t="str">
        <x:v>Metric_ID</x:v>
      </x:c>
      <x:c r="B4" s="42" t="str">
        <x:v>Owner</x:v>
      </x:c>
      <x:c r="C4" s="42" t="str">
        <x:v>Scenario</x:v>
      </x:c>
      <x:c r="D4" s="42" t="str">
        <x:v>Unit</x:v>
      </x:c>
      <x:c r="E4" s="42" t="str">
        <x:v>Value</x:v>
      </x:c>
      <x:c r="F4" s="42" t="str">
        <x:v>Year</x:v>
      </x:c>
      <x:c r="G4" s="39"/>
      <x:c r="H4" s="39"/>
    </x:row>
    <x:row r="5">
      <x:c r="A5" s="43" t="str">
        <x:v>CF_ACQUISITION_PAYMENTS</x:v>
      </x:c>
      <x:c r="B5" s="43" t="str">
        <x:v>H1_CERTIFIED</x:v>
      </x:c>
      <x:c r="C5" s="43" t="str">
        <x:v>BASE</x:v>
      </x:c>
      <x:c r="D5" s="43" t="str">
        <x:v>RMB_MILLION</x:v>
      </x:c>
      <x:c r="E5" s="43" t="n">
        <x:v>-6155.136</x:v>
      </x:c>
      <x:c r="F5" s="43" t="n">
        <x:v>2025</x:v>
      </x:c>
      <x:c r="G5" s="39"/>
      <x:c r="H5" s="39"/>
    </x:row>
    <x:row r="6">
      <x:c r="A6" s="43" t="str">
        <x:v>CF_CAPEX</x:v>
      </x:c>
      <x:c r="B6" s="43" t="str">
        <x:v>H1_CERTIFIED</x:v>
      </x:c>
      <x:c r="C6" s="43" t="str">
        <x:v>BASE</x:v>
      </x:c>
      <x:c r="D6" s="43" t="str">
        <x:v>RMB_MILLION</x:v>
      </x:c>
      <x:c r="E6" s="43" t="n">
        <x:v>-11141.889</x:v>
      </x:c>
      <x:c r="F6" s="43" t="n">
        <x:v>2025</x:v>
      </x:c>
      <x:c r="G6" s="39"/>
      <x:c r="H6" s="39"/>
    </x:row>
    <x:row r="7">
      <x:c r="A7" s="43" t="str">
        <x:v>CF_CASH_FROM_SALES</x:v>
      </x:c>
      <x:c r="B7" s="43" t="str">
        <x:v>H1_CERTIFIED</x:v>
      </x:c>
      <x:c r="C7" s="43" t="str">
        <x:v>BASE</x:v>
      </x:c>
      <x:c r="D7" s="43" t="str">
        <x:v>RMB_MILLION</x:v>
      </x:c>
      <x:c r="E7" s="43" t="n">
        <x:v>426210.8</x:v>
      </x:c>
      <x:c r="F7" s="43" t="n">
        <x:v>2025</x:v>
      </x:c>
      <x:c r="G7" s="39"/>
      <x:c r="H7" s="39"/>
    </x:row>
    <x:row r="8">
      <x:c r="A8" s="43" t="str">
        <x:v>CF_CASH_TO_EMPLOYEES</x:v>
      </x:c>
      <x:c r="B8" s="43" t="str">
        <x:v>H1_CERTIFIED</x:v>
      </x:c>
      <x:c r="C8" s="43" t="str">
        <x:v>BASE</x:v>
      </x:c>
      <x:c r="D8" s="43" t="str">
        <x:v>RMB_MILLION</x:v>
      </x:c>
      <x:c r="E8" s="43" t="n">
        <x:v>-43785.067</x:v>
      </x:c>
      <x:c r="F8" s="43" t="n">
        <x:v>2025</x:v>
      </x:c>
      <x:c r="G8" s="39"/>
      <x:c r="H8" s="39"/>
    </x:row>
    <x:row r="9">
      <x:c r="A9" s="43" t="str">
        <x:v>CF_CASH_TO_SUPPLIERS</x:v>
      </x:c>
      <x:c r="B9" s="43" t="str">
        <x:v>H1_CERTIFIED</x:v>
      </x:c>
      <x:c r="C9" s="43" t="str">
        <x:v>BASE</x:v>
      </x:c>
      <x:c r="D9" s="43" t="str">
        <x:v>RMB_MILLION</x:v>
      </x:c>
      <x:c r="E9" s="43" t="n">
        <x:v>-281799.282</x:v>
      </x:c>
      <x:c r="F9" s="43" t="n">
        <x:v>2025</x:v>
      </x:c>
      <x:c r="G9" s="39"/>
      <x:c r="H9" s="39"/>
    </x:row>
    <x:row r="10">
      <x:c r="A10" s="43" t="str">
        <x:v>CF_CFF</x:v>
      </x:c>
      <x:c r="B10" s="43" t="str">
        <x:v>H1_CERTIFIED</x:v>
      </x:c>
      <x:c r="C10" s="43" t="str">
        <x:v>BASE</x:v>
      </x:c>
      <x:c r="D10" s="43" t="str">
        <x:v>RMB_MILLION</x:v>
      </x:c>
      <x:c r="E10" s="43" t="n">
        <x:v>-64957.779</x:v>
      </x:c>
      <x:c r="F10" s="43" t="n">
        <x:v>2025</x:v>
      </x:c>
      <x:c r="G10" s="39"/>
      <x:c r="H10" s="39"/>
    </x:row>
    <x:row r="11">
      <x:c r="A11" s="43" t="str">
        <x:v>CF_CFI</x:v>
      </x:c>
      <x:c r="B11" s="43" t="str">
        <x:v>H1_CERTIFIED</x:v>
      </x:c>
      <x:c r="C11" s="43" t="str">
        <x:v>BASE</x:v>
      </x:c>
      <x:c r="D11" s="43" t="str">
        <x:v>RMB_MILLION</x:v>
      </x:c>
      <x:c r="E11" s="43" t="n">
        <x:v>25340.273</x:v>
      </x:c>
      <x:c r="F11" s="43" t="n">
        <x:v>2025</x:v>
      </x:c>
      <x:c r="G11" s="39"/>
      <x:c r="H11" s="39"/>
    </x:row>
    <x:row r="12">
      <x:c r="A12" s="43" t="str">
        <x:v>CF_CFO</x:v>
      </x:c>
      <x:c r="B12" s="43" t="str">
        <x:v>H1_CERTIFIED</x:v>
      </x:c>
      <x:c r="C12" s="43" t="str">
        <x:v>BASE</x:v>
      </x:c>
      <x:c r="D12" s="43" t="str">
        <x:v>RMB_MILLION</x:v>
      </x:c>
      <x:c r="E12" s="43" t="n">
        <x:v>53345.93</x:v>
      </x:c>
      <x:c r="F12" s="43" t="n">
        <x:v>2025</x:v>
      </x:c>
      <x:c r="G12" s="39"/>
      <x:c r="H12" s="39"/>
    </x:row>
    <x:row r="13">
      <x:c r="A13" s="43" t="str">
        <x:v>CF_CLOSING_CASH</x:v>
      </x:c>
      <x:c r="B13" s="43" t="str">
        <x:v>H1_CERTIFIED</x:v>
      </x:c>
      <x:c r="C13" s="43" t="str">
        <x:v>BASE</x:v>
      </x:c>
      <x:c r="D13" s="43" t="str">
        <x:v>RMB_MILLION</x:v>
      </x:c>
      <x:c r="E13" s="43" t="n">
        <x:v>68508.67</x:v>
      </x:c>
      <x:c r="F13" s="43" t="n">
        <x:v>2025</x:v>
      </x:c>
      <x:c r="G13" s="39"/>
      <x:c r="H13" s="39"/>
    </x:row>
    <x:row r="14">
      <x:c r="A14" s="43" t="str">
        <x:v>CF_DEBT_PROCEEDS</x:v>
      </x:c>
      <x:c r="B14" s="43" t="str">
        <x:v>H1_CERTIFIED</x:v>
      </x:c>
      <x:c r="C14" s="43" t="str">
        <x:v>BASE</x:v>
      </x:c>
      <x:c r="D14" s="43" t="str">
        <x:v>RMB_MILLION</x:v>
      </x:c>
      <x:c r="E14" s="43" t="n">
        <x:v>88859.535</x:v>
      </x:c>
      <x:c r="F14" s="43" t="n">
        <x:v>2025</x:v>
      </x:c>
      <x:c r="G14" s="39"/>
      <x:c r="H14" s="39"/>
    </x:row>
    <x:row r="15">
      <x:c r="A15" s="43" t="str">
        <x:v>CF_DEBT_REPAYMENTS</x:v>
      </x:c>
      <x:c r="B15" s="43" t="str">
        <x:v>H1_CERTIFIED</x:v>
      </x:c>
      <x:c r="C15" s="43" t="str">
        <x:v>BASE</x:v>
      </x:c>
      <x:c r="D15" s="43" t="str">
        <x:v>RMB_MILLION</x:v>
      </x:c>
      <x:c r="E15" s="43" t="n">
        <x:v>-112064.327</x:v>
      </x:c>
      <x:c r="F15" s="43" t="n">
        <x:v>2025</x:v>
      </x:c>
      <x:c r="G15" s="39"/>
      <x:c r="H15" s="39"/>
    </x:row>
    <x:row r="16">
      <x:c r="A16" s="43" t="str">
        <x:v>CF_DIVIDENDS_INTEREST</x:v>
      </x:c>
      <x:c r="B16" s="43" t="str">
        <x:v>H1_CERTIFIED</x:v>
      </x:c>
      <x:c r="C16" s="43" t="str">
        <x:v>BASE</x:v>
      </x:c>
      <x:c r="D16" s="43" t="str">
        <x:v>RMB_MILLION</x:v>
      </x:c>
      <x:c r="E16" s="43" t="n">
        <x:v>-33080.135</x:v>
      </x:c>
      <x:c r="F16" s="43" t="n">
        <x:v>2025</x:v>
      </x:c>
      <x:c r="G16" s="39"/>
      <x:c r="H16" s="39"/>
    </x:row>
    <x:row r="17">
      <x:c r="A17" s="43" t="str">
        <x:v>CF_FX_EFFECT</x:v>
      </x:c>
      <x:c r="B17" s="43" t="str">
        <x:v>H1_CERTIFIED</x:v>
      </x:c>
      <x:c r="C17" s="43" t="str">
        <x:v>BASE</x:v>
      </x:c>
      <x:c r="D17" s="43" t="str">
        <x:v>RMB_MILLION</x:v>
      </x:c>
      <x:c r="E17" s="43" t="n">
        <x:v>-338.482</x:v>
      </x:c>
      <x:c r="F17" s="43" t="n">
        <x:v>2025</x:v>
      </x:c>
      <x:c r="G17" s="39"/>
      <x:c r="H17" s="39"/>
    </x:row>
    <x:row r="18">
      <x:c r="A18" s="43" t="str">
        <x:v>CF_INVESTMENT_PROCEEDS</x:v>
      </x:c>
      <x:c r="B18" s="43" t="str">
        <x:v>H1_CERTIFIED</x:v>
      </x:c>
      <x:c r="C18" s="43" t="str">
        <x:v>BASE</x:v>
      </x:c>
      <x:c r="D18" s="43" t="str">
        <x:v>RMB_MILLION</x:v>
      </x:c>
      <x:c r="E18" s="43" t="n">
        <x:v>197531.961</x:v>
      </x:c>
      <x:c r="F18" s="43" t="n">
        <x:v>2025</x:v>
      </x:c>
      <x:c r="G18" s="39"/>
      <x:c r="H18" s="39"/>
    </x:row>
    <x:row r="19">
      <x:c r="A19" s="43" t="str">
        <x:v>CF_INVESTMENT_PURCHASES</x:v>
      </x:c>
      <x:c r="B19" s="43" t="str">
        <x:v>H1_CERTIFIED</x:v>
      </x:c>
      <x:c r="C19" s="43" t="str">
        <x:v>BASE</x:v>
      </x:c>
      <x:c r="D19" s="43" t="str">
        <x:v>RMB_MILLION</x:v>
      </x:c>
      <x:c r="E19" s="43" t="n">
        <x:v>-164904.908</x:v>
      </x:c>
      <x:c r="F19" s="43" t="n">
        <x:v>2025</x:v>
      </x:c>
      <x:c r="G19" s="39"/>
      <x:c r="H19" s="39"/>
    </x:row>
    <x:row r="20">
      <x:c r="A20" s="43" t="str">
        <x:v>CF_NET_CHANGE_CASH</x:v>
      </x:c>
      <x:c r="B20" s="43" t="str">
        <x:v>H1_CERTIFIED</x:v>
      </x:c>
      <x:c r="C20" s="43" t="str">
        <x:v>BASE</x:v>
      </x:c>
      <x:c r="D20" s="43" t="str">
        <x:v>RMB_MILLION</x:v>
      </x:c>
      <x:c r="E20" s="43" t="n">
        <x:v>13389.942</x:v>
      </x:c>
      <x:c r="F20" s="43" t="n">
        <x:v>2025</x:v>
      </x:c>
      <x:c r="G20" s="39"/>
      <x:c r="H20" s="39"/>
    </x:row>
    <x:row r="21">
      <x:c r="A21" s="43" t="str">
        <x:v>CF_OPENING_CASH</x:v>
      </x:c>
      <x:c r="B21" s="43" t="str">
        <x:v>H1_CERTIFIED</x:v>
      </x:c>
      <x:c r="C21" s="43" t="str">
        <x:v>BASE</x:v>
      </x:c>
      <x:c r="D21" s="43" t="str">
        <x:v>RMB_MILLION</x:v>
      </x:c>
      <x:c r="E21" s="43" t="n">
        <x:v>55118.728</x:v>
      </x:c>
      <x:c r="F21" s="43" t="n">
        <x:v>2025</x:v>
      </x:c>
      <x:c r="G21" s="39"/>
      <x:c r="H21" s="39"/>
    </x:row>
    <x:row r="22">
      <x:c r="A22" s="43" t="str">
        <x:v>CF_TAXES_PAID</x:v>
      </x:c>
      <x:c r="B22" s="43" t="str">
        <x:v>H1_CERTIFIED</x:v>
      </x:c>
      <x:c r="C22" s="43" t="str">
        <x:v>BASE</x:v>
      </x:c>
      <x:c r="D22" s="43" t="str">
        <x:v>RMB_MILLION</x:v>
      </x:c>
      <x:c r="E22" s="43" t="n">
        <x:v>-20316.919</x:v>
      </x:c>
      <x:c r="F22" s="43" t="n">
        <x:v>2025</x:v>
      </x:c>
      <x:c r="G22" s="39"/>
      <x:c r="H22" s="39"/>
    </x:row>
    <x:row r="23">
      <x:c r="A23" s="43" t="str">
        <x:v>CF_ACQUISITION_PAYMENTS</x:v>
      </x:c>
      <x:c r="B23" s="43" t="str">
        <x:v>H3B_ATTEMPT005</x:v>
      </x:c>
      <x:c r="C23" s="43" t="str">
        <x:v>BASE</x:v>
      </x:c>
      <x:c r="D23" s="43" t="str">
        <x:v>RMB_MILLION</x:v>
      </x:c>
      <x:c r="E23" s="43" t="n">
        <x:v>0</x:v>
      </x:c>
      <x:c r="F23" s="43" t="n">
        <x:v>2026</x:v>
      </x:c>
      <x:c r="G23" s="39"/>
      <x:c r="H23" s="39"/>
    </x:row>
    <x:row r="24">
      <x:c r="A24" s="43" t="str">
        <x:v>CF_CAPEX</x:v>
      </x:c>
      <x:c r="B24" s="43" t="str">
        <x:v>H3B_ATTEMPT005</x:v>
      </x:c>
      <x:c r="C24" s="43" t="str">
        <x:v>BASE</x:v>
      </x:c>
      <x:c r="D24" s="43" t="str">
        <x:v>RMB_MILLION</x:v>
      </x:c>
      <x:c r="E24" s="43" t="n">
        <x:v>-8741.56836899</x:v>
      </x:c>
      <x:c r="F24" s="43" t="n">
        <x:v>2026</x:v>
      </x:c>
      <x:c r="G24" s="39"/>
      <x:c r="H24" s="39"/>
    </x:row>
    <x:row r="25">
      <x:c r="A25" s="43" t="str">
        <x:v>CF_CASH_FROM_SALES</x:v>
      </x:c>
      <x:c r="B25" s="43" t="str">
        <x:v>H3B_ATTEMPT005</x:v>
      </x:c>
      <x:c r="C25" s="43" t="str">
        <x:v>BASE</x:v>
      </x:c>
      <x:c r="D25" s="43" t="str">
        <x:v>RMB_MILLION</x:v>
      </x:c>
      <x:c r="E25" s="43" t="n">
        <x:v>481765.86961073</x:v>
      </x:c>
      <x:c r="F25" s="43" t="n">
        <x:v>2026</x:v>
      </x:c>
      <x:c r="G25" s="39"/>
      <x:c r="H25" s="39"/>
    </x:row>
    <x:row r="26">
      <x:c r="A26" s="43" t="str">
        <x:v>CF_CASH_TO_EMPLOYEES</x:v>
      </x:c>
      <x:c r="B26" s="43" t="str">
        <x:v>H3B_ATTEMPT005</x:v>
      </x:c>
      <x:c r="C26" s="43" t="str">
        <x:v>BASE</x:v>
      </x:c>
      <x:c r="D26" s="43" t="str">
        <x:v>RMB_MILLION</x:v>
      </x:c>
      <x:c r="E26" s="43" t="n">
        <x:v>-26588.48222008</x:v>
      </x:c>
      <x:c r="F26" s="43" t="n">
        <x:v>2026</x:v>
      </x:c>
      <x:c r="G26" s="39"/>
      <x:c r="H26" s="39"/>
    </x:row>
    <x:row r="27">
      <x:c r="A27" s="43" t="str">
        <x:v>CF_CASH_TO_SUPPLIERS</x:v>
      </x:c>
      <x:c r="B27" s="43" t="str">
        <x:v>H3B_ATTEMPT005</x:v>
      </x:c>
      <x:c r="C27" s="43" t="str">
        <x:v>BASE</x:v>
      </x:c>
      <x:c r="D27" s="43" t="str">
        <x:v>RMB_MILLION</x:v>
      </x:c>
      <x:c r="E27" s="43" t="n">
        <x:v>-363322.58406283</x:v>
      </x:c>
      <x:c r="F27" s="43" t="n">
        <x:v>2026</x:v>
      </x:c>
      <x:c r="G27" s="39"/>
      <x:c r="H27" s="39"/>
    </x:row>
    <x:row r="28">
      <x:c r="A28" s="43" t="str">
        <x:v>CF_CFF</x:v>
      </x:c>
      <x:c r="B28" s="43" t="str">
        <x:v>H3B_ATTEMPT005</x:v>
      </x:c>
      <x:c r="C28" s="43" t="str">
        <x:v>BASE</x:v>
      </x:c>
      <x:c r="D28" s="43" t="str">
        <x:v>RMB_MILLION</x:v>
      </x:c>
      <x:c r="E28" s="43" t="n">
        <x:v>-15924.53560132</x:v>
      </x:c>
      <x:c r="F28" s="43" t="n">
        <x:v>2026</x:v>
      </x:c>
      <x:c r="G28" s="39"/>
      <x:c r="H28" s="39"/>
    </x:row>
    <x:row r="29">
      <x:c r="A29" s="43" t="str">
        <x:v>CF_CFI</x:v>
      </x:c>
      <x:c r="B29" s="43" t="str">
        <x:v>H3B_ATTEMPT005</x:v>
      </x:c>
      <x:c r="C29" s="43" t="str">
        <x:v>BASE</x:v>
      </x:c>
      <x:c r="D29" s="43" t="str">
        <x:v>RMB_MILLION</x:v>
      </x:c>
      <x:c r="E29" s="43" t="n">
        <x:v>-21622.39883721</x:v>
      </x:c>
      <x:c r="F29" s="43" t="n">
        <x:v>2026</x:v>
      </x:c>
      <x:c r="G29" s="39"/>
      <x:c r="H29" s="39"/>
    </x:row>
    <x:row r="30">
      <x:c r="A30" s="43" t="str">
        <x:v>CF_CFO</x:v>
      </x:c>
      <x:c r="B30" s="43" t="str">
        <x:v>H3B_ATTEMPT005</x:v>
      </x:c>
      <x:c r="C30" s="43" t="str">
        <x:v>BASE</x:v>
      </x:c>
      <x:c r="D30" s="43" t="str">
        <x:v>RMB_MILLION</x:v>
      </x:c>
      <x:c r="E30" s="43" t="n">
        <x:v>55319.90238123</x:v>
      </x:c>
      <x:c r="F30" s="43" t="n">
        <x:v>2026</x:v>
      </x:c>
      <x:c r="G30" s="39"/>
      <x:c r="H30" s="39"/>
    </x:row>
    <x:row r="31">
      <x:c r="A31" s="43" t="str">
        <x:v>CF_CLOSING_CASH</x:v>
      </x:c>
      <x:c r="B31" s="43" t="str">
        <x:v>H3B_ATTEMPT005</x:v>
      </x:c>
      <x:c r="C31" s="43" t="str">
        <x:v>BASE</x:v>
      </x:c>
      <x:c r="D31" s="43" t="str">
        <x:v>RMB_MILLION</x:v>
      </x:c>
      <x:c r="E31" s="43" t="n">
        <x:v>86281.6379427</x:v>
      </x:c>
      <x:c r="F31" s="43" t="n">
        <x:v>2026</x:v>
      </x:c>
      <x:c r="G31" s="39"/>
      <x:c r="H31" s="39"/>
    </x:row>
    <x:row r="32">
      <x:c r="A32" s="43" t="str">
        <x:v>CF_DEBT_PROCEEDS</x:v>
      </x:c>
      <x:c r="B32" s="43" t="str">
        <x:v>H3B_ATTEMPT005</x:v>
      </x:c>
      <x:c r="C32" s="43" t="str">
        <x:v>BASE</x:v>
      </x:c>
      <x:c r="D32" s="43" t="str">
        <x:v>RMB_MILLION</x:v>
      </x:c>
      <x:c r="E32" s="43" t="n">
        <x:v>13986.61330757</x:v>
      </x:c>
      <x:c r="F32" s="43" t="n">
        <x:v>2026</x:v>
      </x:c>
      <x:c r="G32" s="39"/>
      <x:c r="H32" s="39"/>
    </x:row>
    <x:row r="33">
      <x:c r="A33" s="43" t="str">
        <x:v>CF_DEBT_REPAYMENTS</x:v>
      </x:c>
      <x:c r="B33" s="43" t="str">
        <x:v>H3B_ATTEMPT005</x:v>
      </x:c>
      <x:c r="C33" s="43" t="str">
        <x:v>BASE</x:v>
      </x:c>
      <x:c r="D33" s="43" t="str">
        <x:v>RMB_MILLION</x:v>
      </x:c>
      <x:c r="E33" s="43" t="n">
        <x:v>0</x:v>
      </x:c>
      <x:c r="F33" s="43" t="n">
        <x:v>2026</x:v>
      </x:c>
      <x:c r="G33" s="39"/>
      <x:c r="H33" s="39"/>
    </x:row>
    <x:row r="34">
      <x:c r="A34" s="43" t="str">
        <x:v>CF_DIVIDENDS_INTEREST</x:v>
      </x:c>
      <x:c r="B34" s="43" t="str">
        <x:v>H3B_ATTEMPT005</x:v>
      </x:c>
      <x:c r="C34" s="43" t="str">
        <x:v>BASE</x:v>
      </x:c>
      <x:c r="D34" s="43" t="str">
        <x:v>RMB_MILLION</x:v>
      </x:c>
      <x:c r="E34" s="43" t="n">
        <x:v>-33009.48383497</x:v>
      </x:c>
      <x:c r="F34" s="43" t="n">
        <x:v>2026</x:v>
      </x:c>
      <x:c r="G34" s="39"/>
      <x:c r="H34" s="39"/>
    </x:row>
    <x:row r="35">
      <x:c r="A35" s="43" t="str">
        <x:v>CF_FX_EFFECT</x:v>
      </x:c>
      <x:c r="B35" s="43" t="str">
        <x:v>H3B_ATTEMPT005</x:v>
      </x:c>
      <x:c r="C35" s="43" t="str">
        <x:v>BASE</x:v>
      </x:c>
      <x:c r="D35" s="43" t="str">
        <x:v>RMB_MILLION</x:v>
      </x:c>
      <x:c r="E35" s="43" t="n">
        <x:v>0</x:v>
      </x:c>
      <x:c r="F35" s="43" t="n">
        <x:v>2026</x:v>
      </x:c>
      <x:c r="G35" s="39"/>
      <x:c r="H35" s="39"/>
    </x:row>
    <x:row r="36">
      <x:c r="A36" s="43" t="str">
        <x:v>CF_INVESTMENT_PROCEEDS</x:v>
      </x:c>
      <x:c r="B36" s="43" t="str">
        <x:v>H3B_ATTEMPT005</x:v>
      </x:c>
      <x:c r="C36" s="43" t="str">
        <x:v>BASE</x:v>
      </x:c>
      <x:c r="D36" s="43" t="str">
        <x:v>RMB_MILLION</x:v>
      </x:c>
      <x:c r="E36" s="43" t="n">
        <x:v>0</x:v>
      </x:c>
      <x:c r="F36" s="43" t="n">
        <x:v>2026</x:v>
      </x:c>
      <x:c r="G36" s="39"/>
      <x:c r="H36" s="39"/>
    </x:row>
    <x:row r="37">
      <x:c r="A37" s="43" t="str">
        <x:v>CF_INVESTMENT_PURCHASES</x:v>
      </x:c>
      <x:c r="B37" s="43" t="str">
        <x:v>H3B_ATTEMPT005</x:v>
      </x:c>
      <x:c r="C37" s="43" t="str">
        <x:v>BASE</x:v>
      </x:c>
      <x:c r="D37" s="43" t="str">
        <x:v>RMB_MILLION</x:v>
      </x:c>
      <x:c r="E37" s="43" t="n">
        <x:v>0</x:v>
      </x:c>
      <x:c r="F37" s="43" t="n">
        <x:v>2026</x:v>
      </x:c>
      <x:c r="G37" s="39"/>
      <x:c r="H37" s="39"/>
    </x:row>
    <x:row r="38">
      <x:c r="A38" s="43" t="str">
        <x:v>CF_NET_CHANGE_CASH</x:v>
      </x:c>
      <x:c r="B38" s="43" t="str">
        <x:v>H3B_ATTEMPT005</x:v>
      </x:c>
      <x:c r="C38" s="43" t="str">
        <x:v>BASE</x:v>
      </x:c>
      <x:c r="D38" s="43" t="str">
        <x:v>RMB_MILLION</x:v>
      </x:c>
      <x:c r="E38" s="43" t="n">
        <x:v>17772.9679427</x:v>
      </x:c>
      <x:c r="F38" s="43" t="n">
        <x:v>2026</x:v>
      </x:c>
      <x:c r="G38" s="39"/>
      <x:c r="H38" s="39"/>
    </x:row>
    <x:row r="39">
      <x:c r="A39" s="43" t="str">
        <x:v>CF_OPENING_CASH</x:v>
      </x:c>
      <x:c r="B39" s="43" t="str">
        <x:v>H3B_ATTEMPT005</x:v>
      </x:c>
      <x:c r="C39" s="43" t="str">
        <x:v>BASE</x:v>
      </x:c>
      <x:c r="D39" s="43" t="str">
        <x:v>RMB_MILLION</x:v>
      </x:c>
      <x:c r="E39" s="43" t="n">
        <x:v>68508.67</x:v>
      </x:c>
      <x:c r="F39" s="43" t="n">
        <x:v>2026</x:v>
      </x:c>
      <x:c r="G39" s="39"/>
      <x:c r="H39" s="39"/>
    </x:row>
    <x:row r="40">
      <x:c r="A40" s="43" t="str">
        <x:v>CF_TAXES_PAID</x:v>
      </x:c>
      <x:c r="B40" s="43" t="str">
        <x:v>H3B_ATTEMPT005</x:v>
      </x:c>
      <x:c r="C40" s="43" t="str">
        <x:v>BASE</x:v>
      </x:c>
      <x:c r="D40" s="43" t="str">
        <x:v>RMB_MILLION</x:v>
      </x:c>
      <x:c r="E40" s="43" t="n">
        <x:v>-7414.78772373</x:v>
      </x:c>
      <x:c r="F40" s="43" t="n">
        <x:v>2026</x:v>
      </x:c>
      <x:c r="G40" s="39"/>
      <x:c r="H40" s="39"/>
    </x:row>
    <x:row r="41">
      <x:c r="A41" s="43" t="str">
        <x:v>CF_ACQUISITION_PAYMENTS</x:v>
      </x:c>
      <x:c r="B41" s="43" t="str">
        <x:v>H3B_ATTEMPT005</x:v>
      </x:c>
      <x:c r="C41" s="43" t="str">
        <x:v>BASE</x:v>
      </x:c>
      <x:c r="D41" s="43" t="str">
        <x:v>RMB_MILLION</x:v>
      </x:c>
      <x:c r="E41" s="43" t="n">
        <x:v>0</x:v>
      </x:c>
      <x:c r="F41" s="43" t="n">
        <x:v>2027</x:v>
      </x:c>
      <x:c r="G41" s="39"/>
      <x:c r="H41" s="39"/>
    </x:row>
    <x:row r="42">
      <x:c r="A42" s="43" t="str">
        <x:v>CF_CAPEX</x:v>
      </x:c>
      <x:c r="B42" s="43" t="str">
        <x:v>H3B_ATTEMPT005</x:v>
      </x:c>
      <x:c r="C42" s="43" t="str">
        <x:v>BASE</x:v>
      </x:c>
      <x:c r="D42" s="43" t="str">
        <x:v>RMB_MILLION</x:v>
      </x:c>
      <x:c r="E42" s="43" t="n">
        <x:v>-9670.153555</x:v>
      </x:c>
      <x:c r="F42" s="43" t="n">
        <x:v>2027</x:v>
      </x:c>
      <x:c r="G42" s="39"/>
      <x:c r="H42" s="39"/>
    </x:row>
    <x:row r="43">
      <x:c r="A43" s="43" t="str">
        <x:v>CF_CASH_FROM_SALES</x:v>
      </x:c>
      <x:c r="B43" s="43" t="str">
        <x:v>H3B_ATTEMPT005</x:v>
      </x:c>
      <x:c r="C43" s="43" t="str">
        <x:v>BASE</x:v>
      </x:c>
      <x:c r="D43" s="43" t="str">
        <x:v>RMB_MILLION</x:v>
      </x:c>
      <x:c r="E43" s="43" t="n">
        <x:v>519014.74511418</x:v>
      </x:c>
      <x:c r="F43" s="43" t="n">
        <x:v>2027</x:v>
      </x:c>
      <x:c r="G43" s="39"/>
      <x:c r="H43" s="39"/>
    </x:row>
    <x:row r="44">
      <x:c r="A44" s="43" t="str">
        <x:v>CF_CASH_TO_EMPLOYEES</x:v>
      </x:c>
      <x:c r="B44" s="43" t="str">
        <x:v>H3B_ATTEMPT005</x:v>
      </x:c>
      <x:c r="C44" s="43" t="str">
        <x:v>BASE</x:v>
      </x:c>
      <x:c r="D44" s="43" t="str">
        <x:v>RMB_MILLION</x:v>
      </x:c>
      <x:c r="E44" s="43" t="n">
        <x:v>-29130.8462759</x:v>
      </x:c>
      <x:c r="F44" s="43" t="n">
        <x:v>2027</x:v>
      </x:c>
      <x:c r="G44" s="39"/>
      <x:c r="H44" s="39"/>
    </x:row>
    <x:row r="45">
      <x:c r="A45" s="43" t="str">
        <x:v>CF_CASH_TO_SUPPLIERS</x:v>
      </x:c>
      <x:c r="B45" s="43" t="str">
        <x:v>H3B_ATTEMPT005</x:v>
      </x:c>
      <x:c r="C45" s="43" t="str">
        <x:v>BASE</x:v>
      </x:c>
      <x:c r="D45" s="43" t="str">
        <x:v>RMB_MILLION</x:v>
      </x:c>
      <x:c r="E45" s="43" t="n">
        <x:v>-386946.07944927</x:v>
      </x:c>
      <x:c r="F45" s="43" t="n">
        <x:v>2027</x:v>
      </x:c>
      <x:c r="G45" s="39"/>
      <x:c r="H45" s="39"/>
    </x:row>
    <x:row r="46">
      <x:c r="A46" s="43" t="str">
        <x:v>CF_CFF</x:v>
      </x:c>
      <x:c r="B46" s="43" t="str">
        <x:v>H3B_ATTEMPT005</x:v>
      </x:c>
      <x:c r="C46" s="43" t="str">
        <x:v>BASE</x:v>
      </x:c>
      <x:c r="D46" s="43" t="str">
        <x:v>RMB_MILLION</x:v>
      </x:c>
      <x:c r="E46" s="43" t="n">
        <x:v>-35745.10765404</x:v>
      </x:c>
      <x:c r="F46" s="43" t="n">
        <x:v>2027</x:v>
      </x:c>
      <x:c r="G46" s="39"/>
      <x:c r="H46" s="39"/>
    </x:row>
    <x:row r="47">
      <x:c r="A47" s="43" t="str">
        <x:v>CF_CFI</x:v>
      </x:c>
      <x:c r="B47" s="43" t="str">
        <x:v>H3B_ATTEMPT005</x:v>
      </x:c>
      <x:c r="C47" s="43" t="str">
        <x:v>BASE</x:v>
      </x:c>
      <x:c r="D47" s="43" t="str">
        <x:v>RMB_MILLION</x:v>
      </x:c>
      <x:c r="E47" s="43" t="n">
        <x:v>-24531.75707182</x:v>
      </x:c>
      <x:c r="F47" s="43" t="n">
        <x:v>2027</x:v>
      </x:c>
      <x:c r="G47" s="39"/>
      <x:c r="H47" s="39"/>
    </x:row>
    <x:row r="48">
      <x:c r="A48" s="43" t="str">
        <x:v>CF_CFO</x:v>
      </x:c>
      <x:c r="B48" s="43" t="str">
        <x:v>H3B_ATTEMPT005</x:v>
      </x:c>
      <x:c r="C48" s="43" t="str">
        <x:v>BASE</x:v>
      </x:c>
      <x:c r="D48" s="43" t="str">
        <x:v>RMB_MILLION</x:v>
      </x:c>
      <x:c r="E48" s="43" t="n">
        <x:v>63822.40966614</x:v>
      </x:c>
      <x:c r="F48" s="43" t="n">
        <x:v>2027</x:v>
      </x:c>
      <x:c r="G48" s="39"/>
      <x:c r="H48" s="39"/>
    </x:row>
    <x:row r="49">
      <x:c r="A49" s="43" t="str">
        <x:v>CF_CLOSING_CASH</x:v>
      </x:c>
      <x:c r="B49" s="43" t="str">
        <x:v>H3B_ATTEMPT005</x:v>
      </x:c>
      <x:c r="C49" s="43" t="str">
        <x:v>BASE</x:v>
      </x:c>
      <x:c r="D49" s="43" t="str">
        <x:v>RMB_MILLION</x:v>
      </x:c>
      <x:c r="E49" s="43" t="n">
        <x:v>89827.18288298</x:v>
      </x:c>
      <x:c r="F49" s="43" t="n">
        <x:v>2027</x:v>
      </x:c>
      <x:c r="G49" s="39"/>
      <x:c r="H49" s="39"/>
    </x:row>
    <x:row r="50">
      <x:c r="A50" s="43" t="str">
        <x:v>CF_DEBT_PROCEEDS</x:v>
      </x:c>
      <x:c r="B50" s="43" t="str">
        <x:v>H3B_ATTEMPT005</x:v>
      </x:c>
      <x:c r="C50" s="43" t="str">
        <x:v>BASE</x:v>
      </x:c>
      <x:c r="D50" s="43" t="str">
        <x:v>RMB_MILLION</x:v>
      </x:c>
      <x:c r="E50" s="43" t="n">
        <x:v>0</x:v>
      </x:c>
      <x:c r="F50" s="43" t="n">
        <x:v>2027</x:v>
      </x:c>
      <x:c r="G50" s="39"/>
      <x:c r="H50" s="39"/>
    </x:row>
    <x:row r="51">
      <x:c r="A51" s="43" t="str">
        <x:v>CF_DEBT_REPAYMENTS</x:v>
      </x:c>
      <x:c r="B51" s="43" t="str">
        <x:v>H3B_ATTEMPT005</x:v>
      </x:c>
      <x:c r="C51" s="43" t="str">
        <x:v>BASE</x:v>
      </x:c>
      <x:c r="D51" s="43" t="str">
        <x:v>RMB_MILLION</x:v>
      </x:c>
      <x:c r="E51" s="43" t="n">
        <x:v>-4432.27933656</x:v>
      </x:c>
      <x:c r="F51" s="43" t="n">
        <x:v>2027</x:v>
      </x:c>
      <x:c r="G51" s="39"/>
      <x:c r="H51" s="39"/>
    </x:row>
    <x:row r="52">
      <x:c r="A52" s="43" t="str">
        <x:v>CF_DIVIDENDS_INTEREST</x:v>
      </x:c>
      <x:c r="B52" s="43" t="str">
        <x:v>H3B_ATTEMPT005</x:v>
      </x:c>
      <x:c r="C52" s="43" t="str">
        <x:v>BASE</x:v>
      </x:c>
      <x:c r="D52" s="43" t="str">
        <x:v>RMB_MILLION</x:v>
      </x:c>
      <x:c r="E52" s="43" t="n">
        <x:v>-34600.12000782</x:v>
      </x:c>
      <x:c r="F52" s="43" t="n">
        <x:v>2027</x:v>
      </x:c>
      <x:c r="G52" s="39"/>
      <x:c r="H52" s="39"/>
    </x:row>
    <x:row r="53">
      <x:c r="A53" s="43" t="str">
        <x:v>CF_FX_EFFECT</x:v>
      </x:c>
      <x:c r="B53" s="43" t="str">
        <x:v>H3B_ATTEMPT005</x:v>
      </x:c>
      <x:c r="C53" s="43" t="str">
        <x:v>BASE</x:v>
      </x:c>
      <x:c r="D53" s="43" t="str">
        <x:v>RMB_MILLION</x:v>
      </x:c>
      <x:c r="E53" s="43" t="n">
        <x:v>0</x:v>
      </x:c>
      <x:c r="F53" s="43" t="n">
        <x:v>2027</x:v>
      </x:c>
      <x:c r="G53" s="39"/>
      <x:c r="H53" s="39"/>
    </x:row>
    <x:row r="54">
      <x:c r="A54" s="43" t="str">
        <x:v>CF_INVESTMENT_PROCEEDS</x:v>
      </x:c>
      <x:c r="B54" s="43" t="str">
        <x:v>H3B_ATTEMPT005</x:v>
      </x:c>
      <x:c r="C54" s="43" t="str">
        <x:v>BASE</x:v>
      </x:c>
      <x:c r="D54" s="43" t="str">
        <x:v>RMB_MILLION</x:v>
      </x:c>
      <x:c r="E54" s="43" t="n">
        <x:v>0</x:v>
      </x:c>
      <x:c r="F54" s="43" t="n">
        <x:v>2027</x:v>
      </x:c>
      <x:c r="G54" s="39"/>
      <x:c r="H54" s="39"/>
    </x:row>
    <x:row r="55">
      <x:c r="A55" s="43" t="str">
        <x:v>CF_INVESTMENT_PURCHASES</x:v>
      </x:c>
      <x:c r="B55" s="43" t="str">
        <x:v>H3B_ATTEMPT005</x:v>
      </x:c>
      <x:c r="C55" s="43" t="str">
        <x:v>BASE</x:v>
      </x:c>
      <x:c r="D55" s="43" t="str">
        <x:v>RMB_MILLION</x:v>
      </x:c>
      <x:c r="E55" s="43" t="n">
        <x:v>0</x:v>
      </x:c>
      <x:c r="F55" s="43" t="n">
        <x:v>2027</x:v>
      </x:c>
      <x:c r="G55" s="39"/>
      <x:c r="H55" s="39"/>
    </x:row>
    <x:row r="56">
      <x:c r="A56" s="43" t="str">
        <x:v>CF_NET_CHANGE_CASH</x:v>
      </x:c>
      <x:c r="B56" s="43" t="str">
        <x:v>H3B_ATTEMPT005</x:v>
      </x:c>
      <x:c r="C56" s="43" t="str">
        <x:v>BASE</x:v>
      </x:c>
      <x:c r="D56" s="43" t="str">
        <x:v>RMB_MILLION</x:v>
      </x:c>
      <x:c r="E56" s="43" t="n">
        <x:v>3545.54494028</x:v>
      </x:c>
      <x:c r="F56" s="43" t="n">
        <x:v>2027</x:v>
      </x:c>
      <x:c r="G56" s="39"/>
      <x:c r="H56" s="39"/>
    </x:row>
    <x:row r="57">
      <x:c r="A57" s="43" t="str">
        <x:v>CF_OPENING_CASH</x:v>
      </x:c>
      <x:c r="B57" s="43" t="str">
        <x:v>H3B_ATTEMPT005</x:v>
      </x:c>
      <x:c r="C57" s="43" t="str">
        <x:v>BASE</x:v>
      </x:c>
      <x:c r="D57" s="43" t="str">
        <x:v>RMB_MILLION</x:v>
      </x:c>
      <x:c r="E57" s="43" t="n">
        <x:v>86281.6379427</x:v>
      </x:c>
      <x:c r="F57" s="43" t="n">
        <x:v>2027</x:v>
      </x:c>
      <x:c r="G57" s="39"/>
      <x:c r="H57" s="39"/>
    </x:row>
    <x:row r="58">
      <x:c r="A58" s="43" t="str">
        <x:v>CF_TAXES_PAID</x:v>
      </x:c>
      <x:c r="B58" s="43" t="str">
        <x:v>H3B_ATTEMPT005</x:v>
      </x:c>
      <x:c r="C58" s="43" t="str">
        <x:v>BASE</x:v>
      </x:c>
      <x:c r="D58" s="43" t="str">
        <x:v>RMB_MILLION</x:v>
      </x:c>
      <x:c r="E58" s="43" t="n">
        <x:v>-7738.2503411</x:v>
      </x:c>
      <x:c r="F58" s="43" t="n">
        <x:v>2027</x:v>
      </x:c>
      <x:c r="G58" s="39"/>
      <x:c r="H58" s="39"/>
    </x:row>
    <x:row r="59">
      <x:c r="A59" s="43" t="str">
        <x:v>CF_ACQUISITION_PAYMENTS</x:v>
      </x:c>
      <x:c r="B59" s="43" t="str">
        <x:v>H3B_ATTEMPT005</x:v>
      </x:c>
      <x:c r="C59" s="43" t="str">
        <x:v>BASE</x:v>
      </x:c>
      <x:c r="D59" s="43" t="str">
        <x:v>RMB_MILLION</x:v>
      </x:c>
      <x:c r="E59" s="43" t="n">
        <x:v>0</x:v>
      </x:c>
      <x:c r="F59" s="43" t="n">
        <x:v>2028</x:v>
      </x:c>
      <x:c r="G59" s="39"/>
      <x:c r="H59" s="39"/>
    </x:row>
    <x:row r="60">
      <x:c r="A60" s="43" t="str">
        <x:v>CF_CAPEX</x:v>
      </x:c>
      <x:c r="B60" s="43" t="str">
        <x:v>H3B_ATTEMPT005</x:v>
      </x:c>
      <x:c r="C60" s="43" t="str">
        <x:v>BASE</x:v>
      </x:c>
      <x:c r="D60" s="43" t="str">
        <x:v>RMB_MILLION</x:v>
      </x:c>
      <x:c r="E60" s="43" t="n">
        <x:v>-10652.14441457</x:v>
      </x:c>
      <x:c r="F60" s="43" t="n">
        <x:v>2028</x:v>
      </x:c>
      <x:c r="G60" s="39"/>
      <x:c r="H60" s="39"/>
    </x:row>
    <x:row r="61">
      <x:c r="A61" s="43" t="str">
        <x:v>CF_CASH_FROM_SALES</x:v>
      </x:c>
      <x:c r="B61" s="43" t="str">
        <x:v>H3B_ATTEMPT005</x:v>
      </x:c>
      <x:c r="C61" s="43" t="str">
        <x:v>BASE</x:v>
      </x:c>
      <x:c r="D61" s="43" t="str">
        <x:v>RMB_MILLION</x:v>
      </x:c>
      <x:c r="E61" s="43" t="n">
        <x:v>559721.80264936</x:v>
      </x:c>
      <x:c r="F61" s="43" t="n">
        <x:v>2028</x:v>
      </x:c>
      <x:c r="G61" s="39"/>
      <x:c r="H61" s="39"/>
    </x:row>
    <x:row r="62">
      <x:c r="A62" s="43" t="str">
        <x:v>CF_CASH_TO_EMPLOYEES</x:v>
      </x:c>
      <x:c r="B62" s="43" t="str">
        <x:v>H3B_ATTEMPT005</x:v>
      </x:c>
      <x:c r="C62" s="43" t="str">
        <x:v>BASE</x:v>
      </x:c>
      <x:c r="D62" s="43" t="str">
        <x:v>RMB_MILLION</x:v>
      </x:c>
      <x:c r="E62" s="43" t="n">
        <x:v>-31897.21322352</x:v>
      </x:c>
      <x:c r="F62" s="43" t="n">
        <x:v>2028</x:v>
      </x:c>
      <x:c r="G62" s="39"/>
      <x:c r="H62" s="39"/>
    </x:row>
    <x:row r="63">
      <x:c r="A63" s="43" t="str">
        <x:v>CF_CASH_TO_SUPPLIERS</x:v>
      </x:c>
      <x:c r="B63" s="43" t="str">
        <x:v>H3B_ATTEMPT005</x:v>
      </x:c>
      <x:c r="C63" s="43" t="str">
        <x:v>BASE</x:v>
      </x:c>
      <x:c r="D63" s="43" t="str">
        <x:v>RMB_MILLION</x:v>
      </x:c>
      <x:c r="E63" s="43" t="n">
        <x:v>-416684.06360037</x:v>
      </x:c>
      <x:c r="F63" s="43" t="n">
        <x:v>2028</x:v>
      </x:c>
      <x:c r="G63" s="39"/>
      <x:c r="H63" s="39"/>
    </x:row>
    <x:row r="64">
      <x:c r="A64" s="43" t="str">
        <x:v>CF_CFF</x:v>
      </x:c>
      <x:c r="B64" s="43" t="str">
        <x:v>H3B_ATTEMPT005</x:v>
      </x:c>
      <x:c r="C64" s="43" t="str">
        <x:v>BASE</x:v>
      </x:c>
      <x:c r="D64" s="43" t="str">
        <x:v>RMB_MILLION</x:v>
      </x:c>
      <x:c r="E64" s="43" t="n">
        <x:v>-27897.40977384</x:v>
      </x:c>
      <x:c r="F64" s="43" t="n">
        <x:v>2028</x:v>
      </x:c>
      <x:c r="G64" s="39"/>
      <x:c r="H64" s="39"/>
    </x:row>
    <x:row r="65">
      <x:c r="A65" s="43" t="str">
        <x:v>CF_CFI</x:v>
      </x:c>
      <x:c r="B65" s="43" t="str">
        <x:v>H3B_ATTEMPT005</x:v>
      </x:c>
      <x:c r="C65" s="43" t="str">
        <x:v>BASE</x:v>
      </x:c>
      <x:c r="D65" s="43" t="str">
        <x:v>RMB_MILLION</x:v>
      </x:c>
      <x:c r="E65" s="43" t="n">
        <x:v>-27905.27809182</x:v>
      </x:c>
      <x:c r="F65" s="43" t="n">
        <x:v>2028</x:v>
      </x:c>
      <x:c r="G65" s="39"/>
      <x:c r="H65" s="39"/>
    </x:row>
    <x:row r="66">
      <x:c r="A66" s="43" t="str">
        <x:v>CF_CFO</x:v>
      </x:c>
      <x:c r="B66" s="43" t="str">
        <x:v>H3B_ATTEMPT005</x:v>
      </x:c>
      <x:c r="C66" s="43" t="str">
        <x:v>BASE</x:v>
      </x:c>
      <x:c r="D66" s="43" t="str">
        <x:v>RMB_MILLION</x:v>
      </x:c>
      <x:c r="E66" s="43" t="n">
        <x:v>69332.48342387</x:v>
      </x:c>
      <x:c r="F66" s="43" t="n">
        <x:v>2028</x:v>
      </x:c>
      <x:c r="G66" s="39"/>
      <x:c r="H66" s="39"/>
    </x:row>
    <x:row r="67">
      <x:c r="A67" s="43" t="str">
        <x:v>CF_CLOSING_CASH</x:v>
      </x:c>
      <x:c r="B67" s="43" t="str">
        <x:v>H3B_ATTEMPT005</x:v>
      </x:c>
      <x:c r="C67" s="43" t="str">
        <x:v>BASE</x:v>
      </x:c>
      <x:c r="D67" s="43" t="str">
        <x:v>RMB_MILLION</x:v>
      </x:c>
      <x:c r="E67" s="43" t="n">
        <x:v>103356.97844119</x:v>
      </x:c>
      <x:c r="F67" s="43" t="n">
        <x:v>2028</x:v>
      </x:c>
      <x:c r="G67" s="39"/>
      <x:c r="H67" s="39"/>
    </x:row>
    <x:row r="68">
      <x:c r="A68" s="43" t="str">
        <x:v>CF_DEBT_PROCEEDS</x:v>
      </x:c>
      <x:c r="B68" s="43" t="str">
        <x:v>H3B_ATTEMPT005</x:v>
      </x:c>
      <x:c r="C68" s="43" t="str">
        <x:v>BASE</x:v>
      </x:c>
      <x:c r="D68" s="43" t="str">
        <x:v>RMB_MILLION</x:v>
      </x:c>
      <x:c r="E68" s="43" t="n">
        <x:v>5371.44475044</x:v>
      </x:c>
      <x:c r="F68" s="43" t="n">
        <x:v>2028</x:v>
      </x:c>
      <x:c r="G68" s="39"/>
      <x:c r="H68" s="39"/>
    </x:row>
    <x:row r="69">
      <x:c r="A69" s="43" t="str">
        <x:v>CF_DEBT_REPAYMENTS</x:v>
      </x:c>
      <x:c r="B69" s="43" t="str">
        <x:v>H3B_ATTEMPT005</x:v>
      </x:c>
      <x:c r="C69" s="43" t="str">
        <x:v>BASE</x:v>
      </x:c>
      <x:c r="D69" s="43" t="str">
        <x:v>RMB_MILLION</x:v>
      </x:c>
      <x:c r="E69" s="43" t="n">
        <x:v>0</x:v>
      </x:c>
      <x:c r="F69" s="43" t="n">
        <x:v>2028</x:v>
      </x:c>
      <x:c r="G69" s="39"/>
      <x:c r="H69" s="39"/>
    </x:row>
    <x:row r="70">
      <x:c r="A70" s="43" t="str">
        <x:v>CF_DIVIDENDS_INTEREST</x:v>
      </x:c>
      <x:c r="B70" s="43" t="str">
        <x:v>H3B_ATTEMPT005</x:v>
      </x:c>
      <x:c r="C70" s="43" t="str">
        <x:v>BASE</x:v>
      </x:c>
      <x:c r="D70" s="43" t="str">
        <x:v>RMB_MILLION</x:v>
      </x:c>
      <x:c r="E70" s="43" t="n">
        <x:v>-36490.15691244</x:v>
      </x:c>
      <x:c r="F70" s="43" t="n">
        <x:v>2028</x:v>
      </x:c>
      <x:c r="G70" s="39"/>
      <x:c r="H70" s="39"/>
    </x:row>
    <x:row r="71">
      <x:c r="A71" s="43" t="str">
        <x:v>CF_FX_EFFECT</x:v>
      </x:c>
      <x:c r="B71" s="43" t="str">
        <x:v>H3B_ATTEMPT005</x:v>
      </x:c>
      <x:c r="C71" s="43" t="str">
        <x:v>BASE</x:v>
      </x:c>
      <x:c r="D71" s="43" t="str">
        <x:v>RMB_MILLION</x:v>
      </x:c>
      <x:c r="E71" s="43" t="n">
        <x:v>0</x:v>
      </x:c>
      <x:c r="F71" s="43" t="n">
        <x:v>2028</x:v>
      </x:c>
      <x:c r="G71" s="39"/>
      <x:c r="H71" s="39"/>
    </x:row>
    <x:row r="72">
      <x:c r="A72" s="43" t="str">
        <x:v>CF_INVESTMENT_PROCEEDS</x:v>
      </x:c>
      <x:c r="B72" s="43" t="str">
        <x:v>H3B_ATTEMPT005</x:v>
      </x:c>
      <x:c r="C72" s="43" t="str">
        <x:v>BASE</x:v>
      </x:c>
      <x:c r="D72" s="43" t="str">
        <x:v>RMB_MILLION</x:v>
      </x:c>
      <x:c r="E72" s="43" t="n">
        <x:v>0</x:v>
      </x:c>
      <x:c r="F72" s="43" t="n">
        <x:v>2028</x:v>
      </x:c>
      <x:c r="G72" s="39"/>
      <x:c r="H72" s="39"/>
    </x:row>
    <x:row r="73">
      <x:c r="A73" s="43" t="str">
        <x:v>CF_INVESTMENT_PURCHASES</x:v>
      </x:c>
      <x:c r="B73" s="43" t="str">
        <x:v>H3B_ATTEMPT005</x:v>
      </x:c>
      <x:c r="C73" s="43" t="str">
        <x:v>BASE</x:v>
      </x:c>
      <x:c r="D73" s="43" t="str">
        <x:v>RMB_MILLION</x:v>
      </x:c>
      <x:c r="E73" s="43" t="n">
        <x:v>0</x:v>
      </x:c>
      <x:c r="F73" s="43" t="n">
        <x:v>2028</x:v>
      </x:c>
      <x:c r="G73" s="39"/>
      <x:c r="H73" s="39"/>
    </x:row>
    <x:row r="74">
      <x:c r="A74" s="43" t="str">
        <x:v>CF_NET_CHANGE_CASH</x:v>
      </x:c>
      <x:c r="B74" s="43" t="str">
        <x:v>H3B_ATTEMPT005</x:v>
      </x:c>
      <x:c r="C74" s="43" t="str">
        <x:v>BASE</x:v>
      </x:c>
      <x:c r="D74" s="43" t="str">
        <x:v>RMB_MILLION</x:v>
      </x:c>
      <x:c r="E74" s="43" t="n">
        <x:v>13529.79555821</x:v>
      </x:c>
      <x:c r="F74" s="43" t="n">
        <x:v>2028</x:v>
      </x:c>
      <x:c r="G74" s="39"/>
      <x:c r="H74" s="39"/>
    </x:row>
    <x:row r="75">
      <x:c r="A75" s="43" t="str">
        <x:v>CF_OPENING_CASH</x:v>
      </x:c>
      <x:c r="B75" s="43" t="str">
        <x:v>H3B_ATTEMPT005</x:v>
      </x:c>
      <x:c r="C75" s="43" t="str">
        <x:v>BASE</x:v>
      </x:c>
      <x:c r="D75" s="43" t="str">
        <x:v>RMB_MILLION</x:v>
      </x:c>
      <x:c r="E75" s="43" t="n">
        <x:v>89827.18288298</x:v>
      </x:c>
      <x:c r="F75" s="43" t="n">
        <x:v>2028</x:v>
      </x:c>
      <x:c r="G75" s="39"/>
      <x:c r="H75" s="39"/>
    </x:row>
    <x:row r="76">
      <x:c r="A76" s="43" t="str">
        <x:v>CF_TAXES_PAID</x:v>
      </x:c>
      <x:c r="B76" s="43" t="str">
        <x:v>H3B_ATTEMPT005</x:v>
      </x:c>
      <x:c r="C76" s="43" t="str">
        <x:v>BASE</x:v>
      </x:c>
      <x:c r="D76" s="43" t="str">
        <x:v>RMB_MILLION</x:v>
      </x:c>
      <x:c r="E76" s="43" t="n">
        <x:v>-8180.58322323</x:v>
      </x:c>
      <x:c r="F76" s="43" t="n">
        <x:v>2028</x:v>
      </x:c>
      <x:c r="G76" s="39"/>
      <x:c r="H76" s="39"/>
    </x:row>
    <x:row r="77">
      <x:c r="A77" s="43" t="str">
        <x:v>CF_ACQUISITION_PAYMENTS</x:v>
      </x:c>
      <x:c r="B77" s="43" t="str">
        <x:v>H3B_ATTEMPT005</x:v>
      </x:c>
      <x:c r="C77" s="43" t="str">
        <x:v>BASE</x:v>
      </x:c>
      <x:c r="D77" s="43" t="str">
        <x:v>RMB_MILLION</x:v>
      </x:c>
      <x:c r="E77" s="43" t="n">
        <x:v>0</x:v>
      </x:c>
      <x:c r="F77" s="43" t="n">
        <x:v>2029</x:v>
      </x:c>
      <x:c r="G77" s="39"/>
      <x:c r="H77" s="39"/>
    </x:row>
    <x:row r="78">
      <x:c r="A78" s="43" t="str">
        <x:v>CF_CAPEX</x:v>
      </x:c>
      <x:c r="B78" s="43" t="str">
        <x:v>H3B_ATTEMPT005</x:v>
      </x:c>
      <x:c r="C78" s="43" t="str">
        <x:v>BASE</x:v>
      </x:c>
      <x:c r="D78" s="43" t="str">
        <x:v>RMB_MILLION</x:v>
      </x:c>
      <x:c r="E78" s="43" t="n">
        <x:v>-11704.85293981</x:v>
      </x:c>
      <x:c r="F78" s="43" t="n">
        <x:v>2029</x:v>
      </x:c>
      <x:c r="G78" s="39"/>
      <x:c r="H78" s="39"/>
    </x:row>
    <x:row r="79">
      <x:c r="A79" s="43" t="str">
        <x:v>CF_CASH_FROM_SALES</x:v>
      </x:c>
      <x:c r="B79" s="43" t="str">
        <x:v>H3B_ATTEMPT005</x:v>
      </x:c>
      <x:c r="C79" s="43" t="str">
        <x:v>BASE</x:v>
      </x:c>
      <x:c r="D79" s="43" t="str">
        <x:v>RMB_MILLION</x:v>
      </x:c>
      <x:c r="E79" s="43" t="n">
        <x:v>606756.10151209</x:v>
      </x:c>
      <x:c r="F79" s="43" t="n">
        <x:v>2029</x:v>
      </x:c>
      <x:c r="G79" s="39"/>
      <x:c r="H79" s="39"/>
    </x:row>
    <x:row r="80">
      <x:c r="A80" s="43" t="str">
        <x:v>CF_CASH_TO_EMPLOYEES</x:v>
      </x:c>
      <x:c r="B80" s="43" t="str">
        <x:v>H3B_ATTEMPT005</x:v>
      </x:c>
      <x:c r="C80" s="43" t="str">
        <x:v>BASE</x:v>
      </x:c>
      <x:c r="D80" s="43" t="str">
        <x:v>RMB_MILLION</x:v>
      </x:c>
      <x:c r="E80" s="43" t="n">
        <x:v>-34916.87505486</x:v>
      </x:c>
      <x:c r="F80" s="43" t="n">
        <x:v>2029</x:v>
      </x:c>
      <x:c r="G80" s="39"/>
      <x:c r="H80" s="39"/>
    </x:row>
    <x:row r="81">
      <x:c r="A81" s="43" t="str">
        <x:v>CF_CASH_TO_SUPPLIERS</x:v>
      </x:c>
      <x:c r="B81" s="43" t="str">
        <x:v>H3B_ATTEMPT005</x:v>
      </x:c>
      <x:c r="C81" s="43" t="str">
        <x:v>BASE</x:v>
      </x:c>
      <x:c r="D81" s="43" t="str">
        <x:v>RMB_MILLION</x:v>
      </x:c>
      <x:c r="E81" s="43" t="n">
        <x:v>-451281.43369569</x:v>
      </x:c>
      <x:c r="F81" s="43" t="n">
        <x:v>2029</x:v>
      </x:c>
      <x:c r="G81" s="39"/>
      <x:c r="H81" s="39"/>
    </x:row>
    <x:row r="82">
      <x:c r="A82" s="43" t="str">
        <x:v>CF_CFF</x:v>
      </x:c>
      <x:c r="B82" s="43" t="str">
        <x:v>H3B_ATTEMPT005</x:v>
      </x:c>
      <x:c r="C82" s="43" t="str">
        <x:v>BASE</x:v>
      </x:c>
      <x:c r="D82" s="43" t="str">
        <x:v>RMB_MILLION</x:v>
      </x:c>
      <x:c r="E82" s="43" t="n">
        <x:v>-29579.33146059</x:v>
      </x:c>
      <x:c r="F82" s="43" t="n">
        <x:v>2029</x:v>
      </x:c>
      <x:c r="G82" s="39"/>
      <x:c r="H82" s="39"/>
    </x:row>
    <x:row r="83">
      <x:c r="A83" s="43" t="str">
        <x:v>CF_CFI</x:v>
      </x:c>
      <x:c r="B83" s="43" t="str">
        <x:v>H3B_ATTEMPT005</x:v>
      </x:c>
      <x:c r="C83" s="43" t="str">
        <x:v>BASE</x:v>
      </x:c>
      <x:c r="D83" s="43" t="str">
        <x:v>RMB_MILLION</x:v>
      </x:c>
      <x:c r="E83" s="43" t="n">
        <x:v>-31262.88357696</x:v>
      </x:c>
      <x:c r="F83" s="43" t="n">
        <x:v>2029</x:v>
      </x:c>
      <x:c r="G83" s="39"/>
      <x:c r="H83" s="39"/>
    </x:row>
    <x:row r="84">
      <x:c r="A84" s="43" t="str">
        <x:v>CF_CFO</x:v>
      </x:c>
      <x:c r="B84" s="43" t="str">
        <x:v>H3B_ATTEMPT005</x:v>
      </x:c>
      <x:c r="C84" s="43" t="str">
        <x:v>BASE</x:v>
      </x:c>
      <x:c r="D84" s="43" t="str">
        <x:v>RMB_MILLION</x:v>
      </x:c>
      <x:c r="E84" s="43" t="n">
        <x:v>75477.03421218</x:v>
      </x:c>
      <x:c r="F84" s="43" t="n">
        <x:v>2029</x:v>
      </x:c>
      <x:c r="G84" s="39"/>
      <x:c r="H84" s="39"/>
    </x:row>
    <x:row r="85">
      <x:c r="A85" s="43" t="str">
        <x:v>CF_CLOSING_CASH</x:v>
      </x:c>
      <x:c r="B85" s="43" t="str">
        <x:v>H3B_ATTEMPT005</x:v>
      </x:c>
      <x:c r="C85" s="43" t="str">
        <x:v>BASE</x:v>
      </x:c>
      <x:c r="D85" s="43" t="str">
        <x:v>RMB_MILLION</x:v>
      </x:c>
      <x:c r="E85" s="43" t="n">
        <x:v>117991.79761582</x:v>
      </x:c>
      <x:c r="F85" s="43" t="n">
        <x:v>2029</x:v>
      </x:c>
      <x:c r="G85" s="39"/>
      <x:c r="H85" s="39"/>
    </x:row>
    <x:row r="86">
      <x:c r="A86" s="43" t="str">
        <x:v>CF_DEBT_PROCEEDS</x:v>
      </x:c>
      <x:c r="B86" s="43" t="str">
        <x:v>H3B_ATTEMPT005</x:v>
      </x:c>
      <x:c r="C86" s="43" t="str">
        <x:v>BASE</x:v>
      </x:c>
      <x:c r="D86" s="43" t="str">
        <x:v>RMB_MILLION</x:v>
      </x:c>
      <x:c r="E86" s="43" t="n">
        <x:v>6143.6734588</x:v>
      </x:c>
      <x:c r="F86" s="43" t="n">
        <x:v>2029</x:v>
      </x:c>
      <x:c r="G86" s="39"/>
      <x:c r="H86" s="39"/>
    </x:row>
    <x:row r="87">
      <x:c r="A87" s="43" t="str">
        <x:v>CF_DEBT_REPAYMENTS</x:v>
      </x:c>
      <x:c r="B87" s="43" t="str">
        <x:v>H3B_ATTEMPT005</x:v>
      </x:c>
      <x:c r="C87" s="43" t="str">
        <x:v>BASE</x:v>
      </x:c>
      <x:c r="D87" s="43" t="str">
        <x:v>RMB_MILLION</x:v>
      </x:c>
      <x:c r="E87" s="43" t="n">
        <x:v>0</x:v>
      </x:c>
      <x:c r="F87" s="43" t="n">
        <x:v>2029</x:v>
      </x:c>
      <x:c r="G87" s="39"/>
      <x:c r="H87" s="39"/>
    </x:row>
    <x:row r="88">
      <x:c r="A88" s="43" t="str">
        <x:v>CF_DIVIDENDS_INTEREST</x:v>
      </x:c>
      <x:c r="B88" s="43" t="str">
        <x:v>H3B_ATTEMPT005</x:v>
      </x:c>
      <x:c r="C88" s="43" t="str">
        <x:v>BASE</x:v>
      </x:c>
      <x:c r="D88" s="43" t="str">
        <x:v>RMB_MILLION</x:v>
      </x:c>
      <x:c r="E88" s="43" t="n">
        <x:v>-39186.44758941</x:v>
      </x:c>
      <x:c r="F88" s="43" t="n">
        <x:v>2029</x:v>
      </x:c>
      <x:c r="G88" s="39"/>
      <x:c r="H88" s="39"/>
    </x:row>
    <x:row r="89">
      <x:c r="A89" s="43" t="str">
        <x:v>CF_FX_EFFECT</x:v>
      </x:c>
      <x:c r="B89" s="43" t="str">
        <x:v>H3B_ATTEMPT005</x:v>
      </x:c>
      <x:c r="C89" s="43" t="str">
        <x:v>BASE</x:v>
      </x:c>
      <x:c r="D89" s="43" t="str">
        <x:v>RMB_MILLION</x:v>
      </x:c>
      <x:c r="E89" s="43" t="n">
        <x:v>0</x:v>
      </x:c>
      <x:c r="F89" s="43" t="n">
        <x:v>2029</x:v>
      </x:c>
      <x:c r="G89" s="39"/>
      <x:c r="H89" s="39"/>
    </x:row>
    <x:row r="90">
      <x:c r="A90" s="43" t="str">
        <x:v>CF_INVESTMENT_PROCEEDS</x:v>
      </x:c>
      <x:c r="B90" s="43" t="str">
        <x:v>H3B_ATTEMPT005</x:v>
      </x:c>
      <x:c r="C90" s="43" t="str">
        <x:v>BASE</x:v>
      </x:c>
      <x:c r="D90" s="43" t="str">
        <x:v>RMB_MILLION</x:v>
      </x:c>
      <x:c r="E90" s="43" t="n">
        <x:v>0</x:v>
      </x:c>
      <x:c r="F90" s="43" t="n">
        <x:v>2029</x:v>
      </x:c>
      <x:c r="G90" s="39"/>
      <x:c r="H90" s="39"/>
    </x:row>
    <x:row r="91">
      <x:c r="A91" s="43" t="str">
        <x:v>CF_INVESTMENT_PURCHASES</x:v>
      </x:c>
      <x:c r="B91" s="43" t="str">
        <x:v>H3B_ATTEMPT005</x:v>
      </x:c>
      <x:c r="C91" s="43" t="str">
        <x:v>BASE</x:v>
      </x:c>
      <x:c r="D91" s="43" t="str">
        <x:v>RMB_MILLION</x:v>
      </x:c>
      <x:c r="E91" s="43" t="n">
        <x:v>0</x:v>
      </x:c>
      <x:c r="F91" s="43" t="n">
        <x:v>2029</x:v>
      </x:c>
      <x:c r="G91" s="39"/>
      <x:c r="H91" s="39"/>
    </x:row>
    <x:row r="92">
      <x:c r="A92" s="43" t="str">
        <x:v>CF_NET_CHANGE_CASH</x:v>
      </x:c>
      <x:c r="B92" s="43" t="str">
        <x:v>H3B_ATTEMPT005</x:v>
      </x:c>
      <x:c r="C92" s="43" t="str">
        <x:v>BASE</x:v>
      </x:c>
      <x:c r="D92" s="43" t="str">
        <x:v>RMB_MILLION</x:v>
      </x:c>
      <x:c r="E92" s="43" t="n">
        <x:v>14634.81917463</x:v>
      </x:c>
      <x:c r="F92" s="43" t="n">
        <x:v>2029</x:v>
      </x:c>
      <x:c r="G92" s="39"/>
      <x:c r="H92" s="39"/>
    </x:row>
    <x:row r="93">
      <x:c r="A93" s="43" t="str">
        <x:v>CF_OPENING_CASH</x:v>
      </x:c>
      <x:c r="B93" s="43" t="str">
        <x:v>H3B_ATTEMPT005</x:v>
      </x:c>
      <x:c r="C93" s="43" t="str">
        <x:v>BASE</x:v>
      </x:c>
      <x:c r="D93" s="43" t="str">
        <x:v>RMB_MILLION</x:v>
      </x:c>
      <x:c r="E93" s="43" t="n">
        <x:v>103356.97844119</x:v>
      </x:c>
      <x:c r="F93" s="43" t="n">
        <x:v>2029</x:v>
      </x:c>
      <x:c r="G93" s="39"/>
      <x:c r="H93" s="39"/>
    </x:row>
    <x:row r="94">
      <x:c r="A94" s="43" t="str">
        <x:v>CF_TAXES_PAID</x:v>
      </x:c>
      <x:c r="B94" s="43" t="str">
        <x:v>H3B_ATTEMPT005</x:v>
      </x:c>
      <x:c r="C94" s="43" t="str">
        <x:v>BASE</x:v>
      </x:c>
      <x:c r="D94" s="43" t="str">
        <x:v>RMB_MILLION</x:v>
      </x:c>
      <x:c r="E94" s="43" t="n">
        <x:v>-8754.86549814</x:v>
      </x:c>
      <x:c r="F94" s="43" t="n">
        <x:v>2029</x:v>
      </x:c>
      <x:c r="G94" s="39"/>
      <x:c r="H94" s="39"/>
    </x:row>
    <x:row r="95">
      <x:c r="A95" s="43" t="str">
        <x:v>CF_ACQUISITION_PAYMENTS</x:v>
      </x:c>
      <x:c r="B95" s="43" t="str">
        <x:v>H3B_ATTEMPT005</x:v>
      </x:c>
      <x:c r="C95" s="43" t="str">
        <x:v>BASE</x:v>
      </x:c>
      <x:c r="D95" s="43" t="str">
        <x:v>RMB_MILLION</x:v>
      </x:c>
      <x:c r="E95" s="43" t="n">
        <x:v>0</x:v>
      </x:c>
      <x:c r="F95" s="43" t="n">
        <x:v>2030</x:v>
      </x:c>
      <x:c r="G95" s="39"/>
      <x:c r="H95" s="39"/>
    </x:row>
    <x:row r="96">
      <x:c r="A96" s="43" t="str">
        <x:v>CF_CAPEX</x:v>
      </x:c>
      <x:c r="B96" s="43" t="str">
        <x:v>H3B_ATTEMPT005</x:v>
      </x:c>
      <x:c r="C96" s="43" t="str">
        <x:v>BASE</x:v>
      </x:c>
      <x:c r="D96" s="43" t="str">
        <x:v>RMB_MILLION</x:v>
      </x:c>
      <x:c r="E96" s="43" t="n">
        <x:v>-12842.35639385</x:v>
      </x:c>
      <x:c r="F96" s="43" t="n">
        <x:v>2030</x:v>
      </x:c>
      <x:c r="G96" s="39"/>
      <x:c r="H96" s="39"/>
    </x:row>
    <x:row r="97">
      <x:c r="A97" s="43" t="str">
        <x:v>CF_CASH_FROM_SALES</x:v>
      </x:c>
      <x:c r="B97" s="43" t="str">
        <x:v>H3B_ATTEMPT005</x:v>
      </x:c>
      <x:c r="C97" s="43" t="str">
        <x:v>BASE</x:v>
      </x:c>
      <x:c r="D97" s="43" t="str">
        <x:v>RMB_MILLION</x:v>
      </x:c>
      <x:c r="E97" s="43" t="n">
        <x:v>659944.8494793</x:v>
      </x:c>
      <x:c r="F97" s="43" t="n">
        <x:v>2030</x:v>
      </x:c>
      <x:c r="G97" s="39"/>
      <x:c r="H97" s="39"/>
    </x:row>
    <x:row r="98">
      <x:c r="A98" s="43" t="str">
        <x:v>CF_CASH_TO_EMPLOYEES</x:v>
      </x:c>
      <x:c r="B98" s="43" t="str">
        <x:v>H3B_ATTEMPT005</x:v>
      </x:c>
      <x:c r="C98" s="43" t="str">
        <x:v>BASE</x:v>
      </x:c>
      <x:c r="D98" s="43" t="str">
        <x:v>RMB_MILLION</x:v>
      </x:c>
      <x:c r="E98" s="43" t="n">
        <x:v>-38217.55849798</x:v>
      </x:c>
      <x:c r="F98" s="43" t="n">
        <x:v>2030</x:v>
      </x:c>
      <x:c r="G98" s="39"/>
      <x:c r="H98" s="39"/>
    </x:row>
    <x:row r="99">
      <x:c r="A99" s="43" t="str">
        <x:v>CF_CASH_TO_SUPPLIERS</x:v>
      </x:c>
      <x:c r="B99" s="43" t="str">
        <x:v>H3B_ATTEMPT005</x:v>
      </x:c>
      <x:c r="C99" s="43" t="str">
        <x:v>BASE</x:v>
      </x:c>
      <x:c r="D99" s="43" t="str">
        <x:v>RMB_MILLION</x:v>
      </x:c>
      <x:c r="E99" s="43" t="n">
        <x:v>-490552.10757327</x:v>
      </x:c>
      <x:c r="F99" s="43" t="n">
        <x:v>2030</x:v>
      </x:c>
      <x:c r="G99" s="39"/>
      <x:c r="H99" s="39"/>
    </x:row>
    <x:row r="100">
      <x:c r="A100" s="43" t="str">
        <x:v>CF_CFF</x:v>
      </x:c>
      <x:c r="B100" s="43" t="str">
        <x:v>H3B_ATTEMPT005</x:v>
      </x:c>
      <x:c r="C100" s="43" t="str">
        <x:v>BASE</x:v>
      </x:c>
      <x:c r="D100" s="43" t="str">
        <x:v>RMB_MILLION</x:v>
      </x:c>
      <x:c r="E100" s="43" t="n">
        <x:v>-31736.01903639</x:v>
      </x:c>
      <x:c r="F100" s="43" t="n">
        <x:v>2030</x:v>
      </x:c>
      <x:c r="G100" s="39"/>
      <x:c r="H100" s="39"/>
    </x:row>
    <x:row r="101">
      <x:c r="A101" s="43" t="str">
        <x:v>CF_CFI</x:v>
      </x:c>
      <x:c r="B101" s="43" t="str">
        <x:v>H3B_ATTEMPT005</x:v>
      </x:c>
      <x:c r="C101" s="43" t="str">
        <x:v>BASE</x:v>
      </x:c>
      <x:c r="D101" s="43" t="str">
        <x:v>RMB_MILLION</x:v>
      </x:c>
      <x:c r="E101" s="43" t="n">
        <x:v>-34715.42018039</x:v>
      </x:c>
      <x:c r="F101" s="43" t="n">
        <x:v>2030</x:v>
      </x:c>
      <x:c r="G101" s="39"/>
      <x:c r="H101" s="39"/>
    </x:row>
    <x:row r="102">
      <x:c r="A102" s="43" t="str">
        <x:v>CF_CFO</x:v>
      </x:c>
      <x:c r="B102" s="43" t="str">
        <x:v>H3B_ATTEMPT005</x:v>
      </x:c>
      <x:c r="C102" s="43" t="str">
        <x:v>BASE</x:v>
      </x:c>
      <x:c r="D102" s="43" t="str">
        <x:v>RMB_MILLION</x:v>
      </x:c>
      <x:c r="E102" s="43" t="n">
        <x:v>82319.61914934</x:v>
      </x:c>
      <x:c r="F102" s="43" t="n">
        <x:v>2030</x:v>
      </x:c>
      <x:c r="G102" s="39"/>
      <x:c r="H102" s="39"/>
    </x:row>
    <x:row r="103">
      <x:c r="A103" s="43" t="str">
        <x:v>CF_CLOSING_CASH</x:v>
      </x:c>
      <x:c r="B103" s="43" t="str">
        <x:v>H3B_ATTEMPT005</x:v>
      </x:c>
      <x:c r="C103" s="43" t="str">
        <x:v>BASE</x:v>
      </x:c>
      <x:c r="D103" s="43" t="str">
        <x:v>RMB_MILLION</x:v>
      </x:c>
      <x:c r="E103" s="43" t="n">
        <x:v>133859.97754838</x:v>
      </x:c>
      <x:c r="F103" s="43" t="n">
        <x:v>2030</x:v>
      </x:c>
      <x:c r="G103" s="39"/>
      <x:c r="H103" s="39"/>
    </x:row>
    <x:row r="104">
      <x:c r="A104" s="43" t="str">
        <x:v>CF_DEBT_PROCEEDS</x:v>
      </x:c>
      <x:c r="B104" s="43" t="str">
        <x:v>H3B_ATTEMPT005</x:v>
      </x:c>
      <x:c r="C104" s="43" t="str">
        <x:v>BASE</x:v>
      </x:c>
      <x:c r="D104" s="43" t="str">
        <x:v>RMB_MILLION</x:v>
      </x:c>
      <x:c r="E104" s="43" t="n">
        <x:v>6903.3476533</x:v>
      </x:c>
      <x:c r="F104" s="43" t="n">
        <x:v>2030</x:v>
      </x:c>
      <x:c r="G104" s="39"/>
      <x:c r="H104" s="39"/>
    </x:row>
    <x:row r="105">
      <x:c r="A105" s="43" t="str">
        <x:v>CF_DEBT_REPAYMENTS</x:v>
      </x:c>
      <x:c r="B105" s="43" t="str">
        <x:v>H3B_ATTEMPT005</x:v>
      </x:c>
      <x:c r="C105" s="43" t="str">
        <x:v>BASE</x:v>
      </x:c>
      <x:c r="D105" s="43" t="str">
        <x:v>RMB_MILLION</x:v>
      </x:c>
      <x:c r="E105" s="43" t="n">
        <x:v>0</x:v>
      </x:c>
      <x:c r="F105" s="43" t="n">
        <x:v>2030</x:v>
      </x:c>
      <x:c r="G105" s="39"/>
      <x:c r="H105" s="39"/>
    </x:row>
    <x:row r="106">
      <x:c r="A106" s="43" t="str">
        <x:v>CF_DIVIDENDS_INTEREST</x:v>
      </x:c>
      <x:c r="B106" s="43" t="str">
        <x:v>H3B_ATTEMPT005</x:v>
      </x:c>
      <x:c r="C106" s="43" t="str">
        <x:v>BASE</x:v>
      </x:c>
      <x:c r="D106" s="43" t="str">
        <x:v>RMB_MILLION</x:v>
      </x:c>
      <x:c r="E106" s="43" t="n">
        <x:v>-42375.72484995</x:v>
      </x:c>
      <x:c r="F106" s="43" t="n">
        <x:v>2030</x:v>
      </x:c>
      <x:c r="G106" s="39"/>
      <x:c r="H106" s="39"/>
    </x:row>
    <x:row r="107">
      <x:c r="A107" s="43" t="str">
        <x:v>CF_FX_EFFECT</x:v>
      </x:c>
      <x:c r="B107" s="43" t="str">
        <x:v>H3B_ATTEMPT005</x:v>
      </x:c>
      <x:c r="C107" s="43" t="str">
        <x:v>BASE</x:v>
      </x:c>
      <x:c r="D107" s="43" t="str">
        <x:v>RMB_MILLION</x:v>
      </x:c>
      <x:c r="E107" s="43" t="n">
        <x:v>0</x:v>
      </x:c>
      <x:c r="F107" s="43" t="n">
        <x:v>2030</x:v>
      </x:c>
      <x:c r="G107" s="39"/>
      <x:c r="H107" s="39"/>
    </x:row>
    <x:row r="108">
      <x:c r="A108" s="43" t="str">
        <x:v>CF_INVESTMENT_PROCEEDS</x:v>
      </x:c>
      <x:c r="B108" s="43" t="str">
        <x:v>H3B_ATTEMPT005</x:v>
      </x:c>
      <x:c r="C108" s="43" t="str">
        <x:v>BASE</x:v>
      </x:c>
      <x:c r="D108" s="43" t="str">
        <x:v>RMB_MILLION</x:v>
      </x:c>
      <x:c r="E108" s="43" t="n">
        <x:v>0</x:v>
      </x:c>
      <x:c r="F108" s="43" t="n">
        <x:v>2030</x:v>
      </x:c>
      <x:c r="G108" s="39"/>
      <x:c r="H108" s="39"/>
    </x:row>
    <x:row r="109">
      <x:c r="A109" s="43" t="str">
        <x:v>CF_INVESTMENT_PURCHASES</x:v>
      </x:c>
      <x:c r="B109" s="43" t="str">
        <x:v>H3B_ATTEMPT005</x:v>
      </x:c>
      <x:c r="C109" s="43" t="str">
        <x:v>BASE</x:v>
      </x:c>
      <x:c r="D109" s="43" t="str">
        <x:v>RMB_MILLION</x:v>
      </x:c>
      <x:c r="E109" s="43" t="n">
        <x:v>0</x:v>
      </x:c>
      <x:c r="F109" s="43" t="n">
        <x:v>2030</x:v>
      </x:c>
      <x:c r="G109" s="39"/>
      <x:c r="H109" s="39"/>
    </x:row>
    <x:row r="110">
      <x:c r="A110" s="43" t="str">
        <x:v>CF_NET_CHANGE_CASH</x:v>
      </x:c>
      <x:c r="B110" s="43" t="str">
        <x:v>H3B_ATTEMPT005</x:v>
      </x:c>
      <x:c r="C110" s="43" t="str">
        <x:v>BASE</x:v>
      </x:c>
      <x:c r="D110" s="43" t="str">
        <x:v>RMB_MILLION</x:v>
      </x:c>
      <x:c r="E110" s="43" t="n">
        <x:v>15868.17993256</x:v>
      </x:c>
      <x:c r="F110" s="43" t="n">
        <x:v>2030</x:v>
      </x:c>
      <x:c r="G110" s="39"/>
      <x:c r="H110" s="39"/>
    </x:row>
    <x:row r="111">
      <x:c r="A111" s="43" t="str">
        <x:v>CF_OPENING_CASH</x:v>
      </x:c>
      <x:c r="B111" s="43" t="str">
        <x:v>H3B_ATTEMPT005</x:v>
      </x:c>
      <x:c r="C111" s="43" t="str">
        <x:v>BASE</x:v>
      </x:c>
      <x:c r="D111" s="43" t="str">
        <x:v>RMB_MILLION</x:v>
      </x:c>
      <x:c r="E111" s="43" t="n">
        <x:v>117991.79761582</x:v>
      </x:c>
      <x:c r="F111" s="43" t="n">
        <x:v>2030</x:v>
      </x:c>
      <x:c r="G111" s="39"/>
      <x:c r="H111" s="39"/>
    </x:row>
    <x:row r="112">
      <x:c r="A112" s="43" t="str">
        <x:v>CF_TAXES_PAID</x:v>
      </x:c>
      <x:c r="B112" s="43" t="str">
        <x:v>H3B_ATTEMPT005</x:v>
      </x:c>
      <x:c r="C112" s="43" t="str">
        <x:v>BASE</x:v>
      </x:c>
      <x:c r="D112" s="43" t="str">
        <x:v>RMB_MILLION</x:v>
      </x:c>
      <x:c r="E112" s="43" t="n">
        <x:v>-9449.31162129</x:v>
      </x:c>
      <x:c r="F112" s="43" t="n">
        <x:v>2030</x:v>
      </x:c>
      <x:c r="G112" s="39"/>
      <x:c r="H112" s="39"/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3.630001068115234" hidden="0" customWidth="1"/>
    <x:col min="2" max="2" width="9.5" hidden="0" customWidth="1"/>
    <x:col min="3" max="3" width="9.5" hidden="0" customWidth="1"/>
    <x:col min="4" max="4" width="9.5" hidden="0" customWidth="1"/>
    <x:col min="5" max="5" width="9.5" hidden="0" customWidth="1"/>
    <x:col min="6" max="6" width="9.5" hidden="0" customWidth="1"/>
    <x:col min="7" max="7" width="9.5" hidden="0" customWidth="1"/>
  </x:cols>
  <x:sheetData>
    <x:row r="1">
      <x:c r="A1" s="37" t="str">
        <x:v>Economic NWC and FCFF | Formula-linked</x:v>
      </x:c>
      <x:c r="B1" s="37"/>
      <x:c r="C1" s="37"/>
      <x:c r="D1" s="37"/>
      <x:c r="E1" s="37"/>
      <x:c r="F1" s="37"/>
      <x:c r="G1" s="37"/>
      <x:c r="H1" s="37"/>
    </x:row>
    <x:row r="2">
      <x:c r="A2" s="38" t="str">
        <x:v>RMB million; source values are the certified Attempt 005 model rows</x:v>
      </x:c>
      <x:c r="B2" s="38"/>
      <x:c r="C2" s="38"/>
      <x:c r="D2" s="38"/>
      <x:c r="E2" s="38"/>
      <x:c r="F2" s="38"/>
      <x:c r="G2" s="38"/>
      <x:c r="H2" s="38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2" t="str">
        <x:v>Metric</x:v>
      </x:c>
      <x:c r="B4" s="42" t="n">
        <x:v>2025</x:v>
      </x:c>
      <x:c r="C4" s="42" t="n">
        <x:v>2026</x:v>
      </x:c>
      <x:c r="D4" s="42" t="n">
        <x:v>2027</x:v>
      </x:c>
      <x:c r="E4" s="42" t="n">
        <x:v>2028</x:v>
      </x:c>
      <x:c r="F4" s="42" t="n">
        <x:v>2029</x:v>
      </x:c>
      <x:c r="G4" s="40" t="n">
        <x:v>2030</x:v>
      </x:c>
      <x:c r="H4" s="39"/>
    </x:row>
    <x:row r="5">
      <x:c r="A5" s="43" t="str">
        <x:v>BS_AR</x:v>
      </x:c>
      <x:c r="B5" s="44" t="n">
        <x:v>40450.097</x:v>
      </x:c>
      <x:c r="C5" s="44" t="n">
        <x:v>44669.24780299</x:v>
      </x:c>
      <x:c r="D5" s="44" t="n">
        <x:v>46627.25894051</x:v>
      </x:c>
      <x:c r="E5" s="44" t="n">
        <x:v>49466.53711289</x:v>
      </x:c>
      <x:c r="F5" s="44" t="n">
        <x:v>53044.66110561</x:v>
      </x:c>
      <x:c r="G5" s="50" t="n">
        <x:v>57284.43825677</x:v>
      </x:c>
      <x:c r="H5" s="39"/>
    </x:row>
    <x:row r="6">
      <x:c r="A6" s="43" t="str">
        <x:v>BS_NOTES_RECEIVABLE</x:v>
      </x:c>
      <x:c r="B6" s="44" t="n">
        <x:v>5246.763</x:v>
      </x:c>
      <x:c r="C6" s="44" t="n">
        <x:v>5586.23847931</x:v>
      </x:c>
      <x:c r="D6" s="44" t="n">
        <x:v>5988.41103203</x:v>
      </x:c>
      <x:c r="E6" s="44" t="n">
        <x:v>6466.45518822</x:v>
      </x:c>
      <x:c r="F6" s="44" t="n">
        <x:v>7015.59182391</x:v>
      </x:c>
      <x:c r="G6" s="50" t="n">
        <x:v>7634.58452998</x:v>
      </x:c>
      <x:c r="H6" s="39"/>
    </x:row>
    <x:row r="7">
      <x:c r="A7" s="43" t="str">
        <x:v>BS_RECEIVABLES_FINANCING</x:v>
      </x:c>
      <x:c r="B7" s="44" t="n">
        <x:v>14935.344</x:v>
      </x:c>
      <x:c r="C7" s="44" t="n">
        <x:v>15901.68897558</x:v>
      </x:c>
      <x:c r="D7" s="44" t="n">
        <x:v>17046.50634625</x:v>
      </x:c>
      <x:c r="E7" s="44" t="n">
        <x:v>18407.2984994</x:v>
      </x:c>
      <x:c r="F7" s="44" t="n">
        <x:v>19970.46126415</x:v>
      </x:c>
      <x:c r="G7" s="50" t="n">
        <x:v>21732.47509984</x:v>
      </x:c>
      <x:c r="H7" s="39"/>
    </x:row>
    <x:row r="8">
      <x:c r="A8" s="43" t="str">
        <x:v>BS_INVENTORY</x:v>
      </x:c>
      <x:c r="B8" s="44" t="n">
        <x:v>64628.834</x:v>
      </x:c>
      <x:c r="C8" s="44" t="n">
        <x:v>58037.17487401</x:v>
      </x:c>
      <x:c r="D8" s="44" t="n">
        <x:v>64156.56278451</x:v>
      </x:c>
      <x:c r="E8" s="44" t="n">
        <x:v>70639.52064605</x:v>
      </x:c>
      <x:c r="F8" s="44" t="n">
        <x:v>77597.93440896</x:v>
      </x:c>
      <x:c r="G8" s="50" t="n">
        <x:v>85123.07970898</x:v>
      </x:c>
      <x:c r="H8" s="39"/>
    </x:row>
    <x:row r="9">
      <x:c r="A9" s="43" t="str">
        <x:v>BS_CONTRACT_ASSETS</x:v>
      </x:c>
      <x:c r="B9" s="44" t="n">
        <x:v>4268.501</x:v>
      </x:c>
      <x:c r="C9" s="44" t="n">
        <x:v>4544.68107959</x:v>
      </x:c>
      <x:c r="D9" s="44" t="n">
        <x:v>4871.86832693</x:v>
      </x:c>
      <x:c r="E9" s="44" t="n">
        <x:v>5260.78087334</x:v>
      </x:c>
      <x:c r="F9" s="44" t="n">
        <x:v>5707.53066528</x:v>
      </x:c>
      <x:c r="G9" s="50" t="n">
        <x:v>6211.11182281</x:v>
      </x:c>
      <x:c r="H9" s="39"/>
    </x:row>
    <x:row r="10">
      <x:c r="A10" s="39" t="str">
        <x:v>BS_PREPAYMENTS</x:v>
      </x:c>
      <x:c r="B10" s="50" t="n">
        <x:v>2987.292</x:v>
      </x:c>
      <x:c r="C10" s="50" t="n">
        <x:v>3180.57543658</x:v>
      </x:c>
      <x:c r="D10" s="50" t="n">
        <x:v>3409.55601934</x:v>
      </x:c>
      <x:c r="E10" s="50" t="n">
        <x:v>3681.73478621</x:v>
      </x:c>
      <x:c r="F10" s="50" t="n">
        <x:v>3994.39069972</x:v>
      </x:c>
      <x:c r="G10" s="50" t="n">
        <x:v>4346.81979913</x:v>
      </x:c>
      <x:c r="H10" s="39"/>
    </x:row>
    <x:row r="11">
      <x:c r="A11" s="39" t="str">
        <x:v>BS_OTHER_RECEIVABLES</x:v>
      </x:c>
      <x:c r="B11" s="50" t="n">
        <x:v>3190.591</x:v>
      </x:c>
      <x:c r="C11" s="50" t="n">
        <x:v>3397.02826599</x:v>
      </x:c>
      <x:c r="D11" s="50" t="n">
        <x:v>3641.59203362</x:v>
      </x:c>
      <x:c r="E11" s="50" t="n">
        <x:v>3932.29382105</x:v>
      </x:c>
      <x:c r="F11" s="50" t="n">
        <x:v>4266.22741165</x:v>
      </x:c>
      <x:c r="G11" s="50" t="n">
        <x:v>4642.64093691</x:v>
      </x:c>
      <x:c r="H11" s="39"/>
    </x:row>
    <x:row r="12">
      <x:c r="A12" s="39" t="str">
        <x:v>BS_OTHER_CURRENT_ASSETS_OPERATING</x:v>
      </x:c>
      <x:c r="B12" s="50" t="n">
        <x:v>20747.946</x:v>
      </x:c>
      <x:c r="C12" s="50" t="n">
        <x:v>22090.37730728</x:v>
      </x:c>
      <x:c r="D12" s="50" t="n">
        <x:v>23680.73967098</x:v>
      </x:c>
      <x:c r="E12" s="50" t="n">
        <x:v>25571.13082038</x:v>
      </x:c>
      <x:c r="F12" s="50" t="n">
        <x:v>27742.65205432</x:v>
      </x:c>
      <x:c r="G12" s="50" t="n">
        <x:v>30190.41408205</x:v>
      </x:c>
      <x:c r="H12" s="39"/>
    </x:row>
    <x:row r="13">
      <x:c r="A13" s="39" t="str">
        <x:v>BS_AP</x:v>
      </x:c>
      <x:c r="B13" s="50" t="n">
        <x:v>103680.491</x:v>
      </x:c>
      <x:c r="C13" s="50" t="n">
        <x:v>95037.68289111</x:v>
      </x:c>
      <x:c r="D13" s="50" t="n">
        <x:v>101325.87102088</x:v>
      </x:c>
      <x:c r="E13" s="50" t="n">
        <x:v>109026.0099186</x:v>
      </x:c>
      <x:c r="F13" s="50" t="n">
        <x:v>118010.71653288</x:v>
      </x:c>
      <x:c r="G13" s="50" t="n">
        <x:v>128229.25120737</x:v>
      </x:c>
      <x:c r="H13" s="39"/>
    </x:row>
    <x:row r="14">
      <x:c r="A14" s="39" t="str">
        <x:v>BS_CONTRACT_LIABILITIES</x:v>
      </x:c>
      <x:c r="B14" s="50" t="n">
        <x:v>46993.06</x:v>
      </x:c>
      <x:c r="C14" s="50" t="n">
        <x:v>50033.59977049</x:v>
      </x:c>
      <x:c r="D14" s="50" t="n">
        <x:v>53635.69098372</x:v>
      </x:c>
      <x:c r="E14" s="50" t="n">
        <x:v>57917.33239088</x:v>
      </x:c>
      <x:c r="F14" s="50" t="n">
        <x:v>62835.71937906</x:v>
      </x:c>
      <x:c r="G14" s="50" t="n">
        <x:v>68379.77794923</x:v>
      </x:c>
      <x:c r="H14" s="39"/>
    </x:row>
    <x:row r="15">
      <x:c r="A15" s="39" t="str">
        <x:v>BS_NOTES_PAYABLE</x:v>
      </x:c>
      <x:c r="B15" s="50" t="n">
        <x:v>27121.881</x:v>
      </x:c>
      <x:c r="C15" s="50" t="n">
        <x:v>28876.71794467</x:v>
      </x:c>
      <x:c r="D15" s="50" t="n">
        <x:v>30955.6523498</x:v>
      </x:c>
      <x:c r="E15" s="50" t="n">
        <x:v>33426.7867839</x:v>
      </x:c>
      <x:c r="F15" s="50" t="n">
        <x:v>36265.41671362</x:v>
      </x:c>
      <x:c r="G15" s="50" t="n">
        <x:v>39465.15081898</x:v>
      </x:c>
      <x:c r="H15" s="39"/>
    </x:row>
    <x:row r="16">
      <x:c r="A16" s="39" t="str">
        <x:v>BS_EMPLOYEE_COMP</x:v>
      </x:c>
      <x:c r="B16" s="50" t="n">
        <x:v>9645.445</x:v>
      </x:c>
      <x:c r="C16" s="50" t="n">
        <x:v>10269.52351556</x:v>
      </x:c>
      <x:c r="D16" s="50" t="n">
        <x:v>11008.86189196</x:v>
      </x:c>
      <x:c r="E16" s="50" t="n">
        <x:v>11887.67967276</x:v>
      </x:c>
      <x:c r="F16" s="50" t="n">
        <x:v>12897.19110239</x:v>
      </x:c>
      <x:c r="G16" s="50" t="n">
        <x:v>14035.1232144</x:v>
      </x:c>
      <x:c r="H16" s="39"/>
    </x:row>
    <x:row r="17">
      <x:c r="A17" s="39" t="str">
        <x:v>BS_OTHER_PAYABLES</x:v>
      </x:c>
      <x:c r="B17" s="50" t="n">
        <x:v>4823.476</x:v>
      </x:c>
      <x:c r="C17" s="50" t="n">
        <x:v>5135.56401066</x:v>
      </x:c>
      <x:c r="D17" s="50" t="n">
        <x:v>5505.2909558</x:v>
      </x:c>
      <x:c r="E17" s="50" t="n">
        <x:v>5944.76849925</x:v>
      </x:c>
      <x:c r="F17" s="50" t="n">
        <x:v>6449.60307687</x:v>
      </x:c>
      <x:c r="G17" s="50" t="n">
        <x:v>7018.65802788</x:v>
      </x:c>
      <x:c r="H17" s="39"/>
    </x:row>
    <x:row r="18">
      <x:c r="A18" s="39" t="str">
        <x:v>BS_OTHER_CURRENT_LIABILITIES_OPERATING</x:v>
      </x:c>
      <x:c r="B18" s="50" t="n">
        <x:v>92515.939</x:v>
      </x:c>
      <x:c r="C18" s="50" t="n">
        <x:v>98501.89505253</x:v>
      </x:c>
      <x:c r="D18" s="50" t="n">
        <x:v>105593.38581639</x:v>
      </x:c>
      <x:c r="E18" s="50" t="n">
        <x:v>114022.71719521</x:v>
      </x:c>
      <x:c r="F18" s="50" t="n">
        <x:v>123705.61910831</x:v>
      </x:c>
      <x:c r="G18" s="50" t="n">
        <x:v>134620.29000846</x:v>
      </x:c>
      <x:c r="H18" s="39"/>
    </x:row>
    <x:row r="19">
      <x:c r="A19" s="39" t="str">
        <x:v>BS_OTHER_TAXES_PAYABLE</x:v>
      </x:c>
      <x:c r="B19" s="50" t="n">
        <x:v>2678.872</x:v>
      </x:c>
      <x:c r="C19" s="50" t="n">
        <x:v>2852.20007985</x:v>
      </x:c>
      <x:c r="D19" s="50" t="n">
        <x:v>3057.53978943</x:v>
      </x:c>
      <x:c r="E19" s="50" t="n">
        <x:v>3301.61772944</x:v>
      </x:c>
      <x:c r="F19" s="50" t="n">
        <x:v>3581.99379322</x:v>
      </x:c>
      <x:c r="G19" s="50" t="n">
        <x:v>3898.03669977</x:v>
      </x:c>
      <x:c r="H19" s="39"/>
    </x:row>
    <x:row r="20">
      <x:c r="A20" s="43" t="str">
        <x:v>Economic NWC</x:v>
      </x:c>
      <x:c r="B20" s="44" t="n">
        <x:f>SUM(B5:B12)-SUM(B13:B19)</x:f>
        <x:v>-131003.79599999994</x:v>
      </x:c>
      <x:c r="C20" s="44" t="n">
        <x:f>SUM(C5:C12)-SUM(C13:C19)</x:f>
        <x:v>-133300.17104353997</x:v>
      </x:c>
      <x:c r="D20" s="44" t="n">
        <x:f>SUM(D5:D12)-SUM(D13:D19)</x:f>
        <x:v>-141659.79765380998</x:v>
      </x:c>
      <x:c r="E20" s="44" t="n">
        <x:f>SUM(E5:E12)-SUM(E13:E19)</x:f>
        <x:v>-152101.16044249997</x:v>
      </x:c>
      <x:c r="F20" s="44" t="n">
        <x:f>SUM(F5:F12)-SUM(F13:F19)</x:f>
        <x:v>-164406.81027275</x:v>
      </x:c>
      <x:c r="G20" s="44" t="n">
        <x:f>SUM(G5:G12)-SUM(G13:G19)</x:f>
        <x:v>-178480.72368962006</x:v>
      </x:c>
      <x:c r="H20" s="39"/>
    </x:row>
    <x:row r="21">
      <x:c r="A21" s="43" t="str">
        <x:v>Delta Economic NWC</x:v>
      </x:c>
      <x:c r="B21" s="44"/>
      <x:c r="C21" s="44" t="n">
        <x:f>C20-B20</x:f>
        <x:v>-2296.375043540029</x:v>
      </x:c>
      <x:c r="D21" s="44" t="n">
        <x:f>D20-C20</x:f>
        <x:v>-8359.626610270003</x:v>
      </x:c>
      <x:c r="E21" s="44" t="n">
        <x:f>E20-D20</x:f>
        <x:v>-10441.362788689992</x:v>
      </x:c>
      <x:c r="F21" s="44" t="n">
        <x:f>F20-E20</x:f>
        <x:v>-12305.64983025004</x:v>
      </x:c>
      <x:c r="G21" s="44" t="n">
        <x:f>G20-F20</x:f>
        <x:v>-14073.913416870055</x:v>
      </x:c>
      <x:c r="H21" s="39"/>
    </x:row>
    <x:row r="22">
      <x:c r="A22" s="43" t="str">
        <x:v>BS_LOANS_ADVANCES_CURRENT</x:v>
      </x:c>
      <x:c r="B22" s="44" t="n">
        <x:v>11779.217</x:v>
      </x:c>
      <x:c r="C22" s="44" t="n">
        <x:v>12541.3545955</x:v>
      </x:c>
      <x:c r="D22" s="44" t="n">
        <x:v>13444.2499178</x:v>
      </x:c>
      <x:c r="E22" s="44" t="n">
        <x:v>14517.48037462</x:v>
      </x:c>
      <x:c r="F22" s="44" t="n">
        <x:v>15750.31661945</x:v>
      </x:c>
      <x:c r="G22" s="44" t="n">
        <x:v>17139.98285866</x:v>
      </x:c>
      <x:c r="H22" s="39"/>
    </x:row>
    <x:row r="23">
      <x:c r="A23" s="43" t="str">
        <x:v>BS_CURRENT_PORTION_NONCURRENT_ASSETS_FINANCE</x:v>
      </x:c>
      <x:c r="B23" s="44" t="n">
        <x:v>255.673</x:v>
      </x:c>
      <x:c r="C23" s="44" t="n">
        <x:v>272.21552617</x:v>
      </x:c>
      <x:c r="D23" s="44" t="n">
        <x:v>291.81325968</x:v>
      </x:c>
      <x:c r="E23" s="44" t="n">
        <x:v>315.10819096</x:v>
      </x:c>
      <x:c r="F23" s="44" t="n">
        <x:v>341.86743491</x:v>
      </x:c>
      <x:c r="G23" s="44" t="n">
        <x:v>372.03074172</x:v>
      </x:c>
      <x:c r="H23" s="39"/>
    </x:row>
    <x:row r="24">
      <x:c r="A24" s="43" t="str">
        <x:v>BS_CUSTOMER_DEPOSITS</x:v>
      </x:c>
      <x:c r="B24" s="44" t="n">
        <x:v>134.11</x:v>
      </x:c>
      <x:c r="C24" s="44" t="n">
        <x:v>142.78717039</x:v>
      </x:c>
      <x:c r="D24" s="44" t="n">
        <x:v>153.06691068</x:v>
      </x:c>
      <x:c r="E24" s="44" t="n">
        <x:v>165.28596876</x:v>
      </x:c>
      <x:c r="F24" s="44" t="n">
        <x:v>179.3221877</x:v>
      </x:c>
      <x:c r="G24" s="44" t="n">
        <x:v>195.14396425</x:v>
      </x:c>
      <x:c r="H24" s="39"/>
    </x:row>
    <x:row r="25">
      <x:c r="A25" s="43" t="str">
        <x:v>Finance-services net investment</x:v>
      </x:c>
      <x:c r="B25" s="44" t="n">
        <x:f>B22+B23-B24</x:f>
        <x:v>11900.78</x:v>
      </x:c>
      <x:c r="C25" s="44" t="n">
        <x:f>C22+C23-C24</x:f>
        <x:v>12670.78295128</x:v>
      </x:c>
      <x:c r="D25" s="44" t="n">
        <x:f>D22+D23-D24</x:f>
        <x:v>13582.9962668</x:v>
      </x:c>
      <x:c r="E25" s="44" t="n">
        <x:f>E22+E23-E24</x:f>
        <x:v>14667.30259682</x:v>
      </x:c>
      <x:c r="F25" s="44" t="n">
        <x:f>F22+F23-F24</x:f>
        <x:v>15912.861866660001</x:v>
      </x:c>
      <x:c r="G25" s="44" t="n">
        <x:f>G22+G23-G24</x:f>
        <x:v>17316.86963613</x:v>
      </x:c>
      <x:c r="H25" s="39"/>
    </x:row>
    <x:row r="26">
      <x:c r="A26" s="43" t="str">
        <x:v>Delta finance-services net investment</x:v>
      </x:c>
      <x:c r="B26" s="44"/>
      <x:c r="C26" s="44" t="n">
        <x:f>C25-B25</x:f>
        <x:v>770.0029512799993</x:v>
      </x:c>
      <x:c r="D26" s="44" t="n">
        <x:f>D25-C25</x:f>
        <x:v>912.2133155200008</x:v>
      </x:c>
      <x:c r="E26" s="44" t="n">
        <x:f>E25-D25</x:f>
        <x:v>1084.3063300199992</x:v>
      </x:c>
      <x:c r="F26" s="44" t="n">
        <x:f>F25-E25</x:f>
        <x:v>1245.5592698400014</x:v>
      </x:c>
      <x:c r="G26" s="44" t="n">
        <x:f>G25-F25</x:f>
        <x:v>1404.0077694699976</x:v>
      </x:c>
      <x:c r="H26" s="39"/>
    </x:row>
    <x:row r="27">
      <x:c r="A27" s="43" t="str">
        <x:v>EBIT</x:v>
      </x:c>
      <x:c r="B27" s="44" t="n">
        <x:v>0</x:v>
      </x:c>
      <x:c r="C27" s="44" t="n">
        <x:v>49562.97330601</x:v>
      </x:c>
      <x:c r="D27" s="44" t="n">
        <x:v>51502.14846315</x:v>
      </x:c>
      <x:c r="E27" s="44" t="n">
        <x:v>54470.0730419</x:v>
      </x:c>
      <x:c r="F27" s="44" t="n">
        <x:v>58289.39194186</x:v>
      </x:c>
      <x:c r="G27" s="44" t="n">
        <x:v>62861.97000934</x:v>
      </x:c>
      <x:c r="H27" s="39"/>
    </x:row>
    <x:row r="28">
      <x:c r="A28" s="43" t="str">
        <x:v>DRV_EFFECTIVE_TAX_RATE_PERCENT</x:v>
      </x:c>
      <x:c r="B28" s="44" t="n">
        <x:v>0</x:v>
      </x:c>
      <x:c r="C28" s="44" t="n">
        <x:v>15.25655325</x:v>
      </x:c>
      <x:c r="D28" s="44" t="n">
        <x:v>15.31642115</x:v>
      </x:c>
      <x:c r="E28" s="44" t="n">
        <x:v>15.35533528</x:v>
      </x:c>
      <x:c r="F28" s="44" t="n">
        <x:v>15.38062947</x:v>
      </x:c>
      <x:c r="G28" s="44" t="n">
        <x:v>15.39707069</x:v>
      </x:c>
      <x:c r="H28" s="39"/>
    </x:row>
    <x:row r="29">
      <x:c r="A29" s="43" t="str">
        <x:v>PPE_DEPRECIATION</x:v>
      </x:c>
      <x:c r="B29" s="44" t="n">
        <x:v>0</x:v>
      </x:c>
      <x:c r="C29" s="44" t="n">
        <x:v>7071.03609241</x:v>
      </x:c>
      <x:c r="D29" s="44" t="n">
        <x:v>7202.68377753</x:v>
      </x:c>
      <x:c r="E29" s="44" t="n">
        <x:v>7479.19735653</x:v>
      </x:c>
      <x:c r="F29" s="44" t="n">
        <x:v>7877.01218801</x:v>
      </x:c>
      <x:c r="G29" s="44" t="n">
        <x:v>8381.75983064</x:v>
      </x:c>
      <x:c r="H29" s="39"/>
    </x:row>
    <x:row r="30">
      <x:c r="A30" s="43" t="str">
        <x:v>PPE_AMORTIZATION</x:v>
      </x:c>
      <x:c r="B30" s="44" t="n">
        <x:v>0</x:v>
      </x:c>
      <x:c r="C30" s="44" t="n">
        <x:v>1615.43985473</x:v>
      </x:c>
      <x:c r="D30" s="44" t="n">
        <x:v>1756.69611538</x:v>
      </x:c>
      <x:c r="E30" s="44" t="n">
        <x:v>1907.42294677</x:v>
      </x:c>
      <x:c r="F30" s="44" t="n">
        <x:v>2070.17657398</x:v>
      </x:c>
      <x:c r="G30" s="44" t="n">
        <x:v>2247.20523094</x:v>
      </x:c>
      <x:c r="H30" s="39"/>
    </x:row>
    <x:row r="31">
      <x:c r="A31" s="43" t="str">
        <x:v>PPE_CAPEX</x:v>
      </x:c>
      <x:c r="B31" s="44" t="n">
        <x:v>0</x:v>
      </x:c>
      <x:c r="C31" s="44" t="n">
        <x:v>8741.56836899</x:v>
      </x:c>
      <x:c r="D31" s="44" t="n">
        <x:v>9670.153555</x:v>
      </x:c>
      <x:c r="E31" s="44" t="n">
        <x:v>10652.14441457</x:v>
      </x:c>
      <x:c r="F31" s="44" t="n">
        <x:v>11704.85293981</x:v>
      </x:c>
      <x:c r="G31" s="44" t="n">
        <x:v>12842.35639385</x:v>
      </x:c>
      <x:c r="H31" s="39"/>
    </x:row>
    <x:row r="32">
      <x:c r="A32" s="43" t="str">
        <x:v>NOPAT</x:v>
      </x:c>
      <x:c r="B32" s="44" t="n">
        <x:f>B27*(1-B28/100)</x:f>
        <x:v>0</x:v>
      </x:c>
      <x:c r="C32" s="44" t="n">
        <x:f>C27*(1-C28/100)</x:f>
        <x:v>42001.3718912953</x:v>
      </x:c>
      <x:c r="D32" s="44" t="n">
        <x:f>D27*(1-D28/100)</x:f>
        <x:v>43613.862503235694</x:v>
      </x:c>
      <x:c r="E32" s="44" t="n">
        <x:f>E27*(1-E28/100)</x:f>
        <x:v>46106.01069905536</x:v>
      </x:c>
      <x:c r="F32" s="44" t="n">
        <x:f>F27*(1-F28/100)</x:f>
        <x:v>49324.11654696647</x:v>
      </x:c>
      <x:c r="G32" s="44" t="n">
        <x:f>G27*(1-G28/100)</x:f>
        <x:v>53183.06804987532</x:v>
      </x:c>
      <x:c r="H32" s="39"/>
    </x:row>
    <x:row r="33">
      <x:c r="A33" s="43" t="str">
        <x:v>D&amp;A</x:v>
      </x:c>
      <x:c r="B33" s="44" t="n">
        <x:f>B29+B30</x:f>
        <x:v>0</x:v>
      </x:c>
      <x:c r="C33" s="44" t="n">
        <x:f>C29+C30</x:f>
        <x:v>8686.47594714</x:v>
      </x:c>
      <x:c r="D33" s="44" t="n">
        <x:f>D29+D30</x:f>
        <x:v>8959.37989291</x:v>
      </x:c>
      <x:c r="E33" s="44" t="n">
        <x:f>E29+E30</x:f>
        <x:v>9386.6203033</x:v>
      </x:c>
      <x:c r="F33" s="44" t="n">
        <x:f>F29+F30</x:f>
        <x:v>9947.188761989999</x:v>
      </x:c>
      <x:c r="G33" s="44" t="n">
        <x:f>G29+G30</x:f>
        <x:v>10628.96506158</x:v>
      </x:c>
      <x:c r="H33" s="39"/>
    </x:row>
    <x:row r="34">
      <x:c r="A34" s="51" t="str">
        <x:v>FCFF</x:v>
      </x:c>
      <x:c r="B34" s="52"/>
      <x:c r="C34" s="52" t="n">
        <x:f>C32+C33-C31-C21-C26</x:f>
        <x:v>43472.65156170532</x:v>
      </x:c>
      <x:c r="D34" s="52" t="n">
        <x:f>D32+D33-D31-D21-D26</x:f>
        <x:v>50350.5021358957</x:v>
      </x:c>
      <x:c r="E34" s="52" t="n">
        <x:f>E32+E33-E31-E21-E26</x:f>
        <x:v>54197.54304645535</x:v>
      </x:c>
      <x:c r="F34" s="52" t="n">
        <x:f>F32+F33-F31-F21-F26</x:f>
        <x:v>58626.54292955651</x:v>
      </x:c>
      <x:c r="G34" s="52" t="n">
        <x:f>G32+G33-G31-G21-G26</x:f>
        <x:v>63639.58236500538</x:v>
      </x:c>
      <x:c r="H34" s="39"/>
    </x:row>
    <x:row r="35">
      <x:c r="A35" s="39"/>
      <x:c r="B35" s="50"/>
      <x:c r="C35" s="50"/>
      <x:c r="D35" s="50"/>
      <x:c r="E35" s="50"/>
      <x:c r="F35" s="50"/>
      <x:c r="G35" s="50"/>
      <x:c r="H35" s="39"/>
    </x:row>
    <x:row r="36">
      <x:c r="A36" s="39"/>
      <x:c r="B36" s="50"/>
      <x:c r="C36" s="50"/>
      <x:c r="D36" s="50"/>
      <x:c r="E36" s="50"/>
      <x:c r="F36" s="50"/>
      <x:c r="G36" s="50"/>
      <x:c r="H36" s="39"/>
    </x:row>
    <x:row r="37">
      <x:c r="A37" s="39"/>
      <x:c r="B37" s="50"/>
      <x:c r="C37" s="50"/>
      <x:c r="D37" s="50"/>
      <x:c r="E37" s="50"/>
      <x:c r="F37" s="50"/>
      <x:c r="G37" s="50"/>
      <x:c r="H37" s="39"/>
    </x:row>
    <x:row r="38">
      <x:c r="A38" s="39"/>
      <x:c r="B38" s="50"/>
      <x:c r="C38" s="50"/>
      <x:c r="D38" s="50"/>
      <x:c r="E38" s="50"/>
      <x:c r="F38" s="50"/>
      <x:c r="G38" s="50"/>
      <x:c r="H38" s="39"/>
    </x:row>
    <x:row r="39">
      <x:c r="A39" s="39"/>
      <x:c r="B39" s="50"/>
      <x:c r="C39" s="50"/>
      <x:c r="D39" s="50"/>
      <x:c r="E39" s="50"/>
      <x:c r="F39" s="50"/>
      <x:c r="G39" s="50"/>
      <x:c r="H39" s="39"/>
    </x:row>
    <x:row r="40">
      <x:c r="A40" s="39"/>
      <x:c r="B40" s="50"/>
      <x:c r="C40" s="50"/>
      <x:c r="D40" s="50"/>
      <x:c r="E40" s="50"/>
      <x:c r="F40" s="50"/>
      <x:c r="G40" s="50"/>
      <x:c r="H40" s="39"/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.3799991607666" hidden="0" customWidth="1"/>
    <x:col min="2" max="2" width="14.380000114440918" hidden="0" customWidth="1"/>
    <x:col min="3" max="3" width="7.130000114440918" hidden="0" customWidth="1"/>
    <x:col min="4" max="4" width="13.75" hidden="0" customWidth="1"/>
    <x:col min="5" max="5" width="9.880000114440918" hidden="0" customWidth="1"/>
    <x:col min="6" max="6" width="4.25" hidden="0" customWidth="1"/>
  </x:cols>
  <x:sheetData>
    <x:row r="1">
      <x:c r="A1" s="37" t="str">
        <x:v>EPS Shares</x:v>
      </x:c>
      <x:c r="B1" s="37"/>
      <x:c r="C1" s="37"/>
      <x:c r="D1" s="37"/>
      <x:c r="E1" s="37"/>
      <x:c r="F1" s="37"/>
      <x:c r="G1" s="37"/>
      <x:c r="H1" s="37"/>
    </x:row>
    <x:row r="2">
      <x:c r="A2" s="39"/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2" t="str">
        <x:v>Metric_ID</x:v>
      </x:c>
      <x:c r="B4" s="42" t="str">
        <x:v>Owner</x:v>
      </x:c>
      <x:c r="C4" s="42" t="str">
        <x:v>Scenario</x:v>
      </x:c>
      <x:c r="D4" s="42" t="str">
        <x:v>Unit</x:v>
      </x:c>
      <x:c r="E4" s="42" t="str">
        <x:v>Value</x:v>
      </x:c>
      <x:c r="F4" s="42" t="str">
        <x:v>Year</x:v>
      </x:c>
      <x:c r="G4" s="39"/>
      <x:c r="H4" s="39"/>
    </x:row>
    <x:row r="5">
      <x:c r="A5" s="43" t="str">
        <x:v>IS_BASIC_EPS</x:v>
      </x:c>
      <x:c r="B5" s="43" t="str">
        <x:v>H1_CERTIFIED</x:v>
      </x:c>
      <x:c r="C5" s="43" t="str">
        <x:v>BASE</x:v>
      </x:c>
      <x:c r="D5" s="43" t="str">
        <x:v>RMB_PER_SHARE</x:v>
      </x:c>
      <x:c r="E5" s="43" t="n">
        <x:v>5.8</x:v>
      </x:c>
      <x:c r="F5" s="43" t="n">
        <x:v>2025</x:v>
      </x:c>
      <x:c r="G5" s="39"/>
      <x:c r="H5" s="39"/>
    </x:row>
    <x:row r="6">
      <x:c r="A6" s="43" t="str">
        <x:v>IS_DILUTED_EPS</x:v>
      </x:c>
      <x:c r="B6" s="43" t="str">
        <x:v>H1_CERTIFIED</x:v>
      </x:c>
      <x:c r="C6" s="43" t="str">
        <x:v>BASE</x:v>
      </x:c>
      <x:c r="D6" s="43" t="str">
        <x:v>RMB_PER_SHARE</x:v>
      </x:c>
      <x:c r="E6" s="43" t="n">
        <x:v>5.76</x:v>
      </x:c>
      <x:c r="F6" s="43" t="n">
        <x:v>2025</x:v>
      </x:c>
      <x:c r="G6" s="39"/>
      <x:c r="H6" s="39"/>
    </x:row>
    <x:row r="7">
      <x:c r="A7" s="43" t="str">
        <x:v>EPS_DENOMINATOR_SHARES</x:v>
      </x:c>
      <x:c r="B7" s="43" t="str">
        <x:v>H3B_ATTEMPT005</x:v>
      </x:c>
      <x:c r="C7" s="43" t="str">
        <x:v>BASE</x:v>
      </x:c>
      <x:c r="D7" s="43" t="str">
        <x:v>SHARES</x:v>
      </x:c>
      <x:c r="E7" s="43" t="n">
        <x:v>7402513660</x:v>
      </x:c>
      <x:c r="F7" s="43" t="n">
        <x:v>2026</x:v>
      </x:c>
      <x:c r="G7" s="39"/>
      <x:c r="H7" s="39"/>
    </x:row>
    <x:row r="8">
      <x:c r="A8" s="43" t="str">
        <x:v>IS_BASIC_EPS</x:v>
      </x:c>
      <x:c r="B8" s="43" t="str">
        <x:v>H3B_ATTEMPT005</x:v>
      </x:c>
      <x:c r="C8" s="43" t="str">
        <x:v>BASE</x:v>
      </x:c>
      <x:c r="D8" s="43" t="str">
        <x:v>RMB_PER_SHARE</x:v>
      </x:c>
      <x:c r="E8" s="43" t="n">
        <x:v>5.83526322</x:v>
      </x:c>
      <x:c r="F8" s="43" t="n">
        <x:v>2026</x:v>
      </x:c>
      <x:c r="G8" s="39"/>
      <x:c r="H8" s="39"/>
    </x:row>
    <x:row r="9">
      <x:c r="A9" s="43" t="str">
        <x:v>IS_DILUTED_EPS</x:v>
      </x:c>
      <x:c r="B9" s="43" t="str">
        <x:v>H3B_ATTEMPT005</x:v>
      </x:c>
      <x:c r="C9" s="43" t="str">
        <x:v>BASE</x:v>
      </x:c>
      <x:c r="D9" s="43" t="str">
        <x:v>RMB_PER_SHARE</x:v>
      </x:c>
      <x:c r="E9" s="43" t="n">
        <x:v>5.83526322</x:v>
      </x:c>
      <x:c r="F9" s="43" t="n">
        <x:v>2026</x:v>
      </x:c>
      <x:c r="G9" s="39"/>
      <x:c r="H9" s="39"/>
    </x:row>
    <x:row r="10">
      <x:c r="A10" s="43" t="str">
        <x:v>EPS_DENOMINATOR_SHARES</x:v>
      </x:c>
      <x:c r="B10" s="43" t="str">
        <x:v>H3B_ATTEMPT005</x:v>
      </x:c>
      <x:c r="C10" s="43" t="str">
        <x:v>BASE</x:v>
      </x:c>
      <x:c r="D10" s="43" t="str">
        <x:v>SHARES</x:v>
      </x:c>
      <x:c r="E10" s="43" t="n">
        <x:v>7402513660</x:v>
      </x:c>
      <x:c r="F10" s="43" t="n">
        <x:v>2027</x:v>
      </x:c>
      <x:c r="G10" s="39"/>
      <x:c r="H10" s="39"/>
    </x:row>
    <x:row r="11">
      <x:c r="A11" s="43" t="str">
        <x:v>IS_BASIC_EPS</x:v>
      </x:c>
      <x:c r="B11" s="43" t="str">
        <x:v>H3B_ATTEMPT005</x:v>
      </x:c>
      <x:c r="C11" s="43" t="str">
        <x:v>BASE</x:v>
      </x:c>
      <x:c r="D11" s="43" t="str">
        <x:v>RMB_PER_SHARE</x:v>
      </x:c>
      <x:c r="E11" s="43" t="n">
        <x:v>6.10993916</x:v>
      </x:c>
      <x:c r="F11" s="43" t="n">
        <x:v>2027</x:v>
      </x:c>
      <x:c r="G11" s="39"/>
      <x:c r="H11" s="39"/>
    </x:row>
    <x:row r="12">
      <x:c r="A12" s="43" t="str">
        <x:v>IS_DILUTED_EPS</x:v>
      </x:c>
      <x:c r="B12" s="43" t="str">
        <x:v>H3B_ATTEMPT005</x:v>
      </x:c>
      <x:c r="C12" s="43" t="str">
        <x:v>BASE</x:v>
      </x:c>
      <x:c r="D12" s="43" t="str">
        <x:v>RMB_PER_SHARE</x:v>
      </x:c>
      <x:c r="E12" s="43" t="n">
        <x:v>6.10993916</x:v>
      </x:c>
      <x:c r="F12" s="43" t="n">
        <x:v>2027</x:v>
      </x:c>
      <x:c r="G12" s="39"/>
      <x:c r="H12" s="39"/>
    </x:row>
    <x:row r="13">
      <x:c r="A13" s="43" t="str">
        <x:v>EPS_DENOMINATOR_SHARES</x:v>
      </x:c>
      <x:c r="B13" s="43" t="str">
        <x:v>H3B_ATTEMPT005</x:v>
      </x:c>
      <x:c r="C13" s="43" t="str">
        <x:v>BASE</x:v>
      </x:c>
      <x:c r="D13" s="43" t="str">
        <x:v>SHARES</x:v>
      </x:c>
      <x:c r="E13" s="43" t="n">
        <x:v>7402513660</x:v>
      </x:c>
      <x:c r="F13" s="43" t="n">
        <x:v>2028</x:v>
      </x:c>
      <x:c r="G13" s="39"/>
      <x:c r="H13" s="39"/>
    </x:row>
    <x:row r="14">
      <x:c r="A14" s="43" t="str">
        <x:v>IS_BASIC_EPS</x:v>
      </x:c>
      <x:c r="B14" s="43" t="str">
        <x:v>H3B_ATTEMPT005</x:v>
      </x:c>
      <x:c r="C14" s="43" t="str">
        <x:v>BASE</x:v>
      </x:c>
      <x:c r="D14" s="43" t="str">
        <x:v>RMB_PER_SHARE</x:v>
      </x:c>
      <x:c r="E14" s="43" t="n">
        <x:v>6.49294124</x:v>
      </x:c>
      <x:c r="F14" s="43" t="n">
        <x:v>2028</x:v>
      </x:c>
      <x:c r="G14" s="39"/>
      <x:c r="H14" s="39"/>
    </x:row>
    <x:row r="15">
      <x:c r="A15" s="43" t="str">
        <x:v>IS_DILUTED_EPS</x:v>
      </x:c>
      <x:c r="B15" s="43" t="str">
        <x:v>H3B_ATTEMPT005</x:v>
      </x:c>
      <x:c r="C15" s="43" t="str">
        <x:v>BASE</x:v>
      </x:c>
      <x:c r="D15" s="43" t="str">
        <x:v>RMB_PER_SHARE</x:v>
      </x:c>
      <x:c r="E15" s="43" t="n">
        <x:v>6.49294124</x:v>
      </x:c>
      <x:c r="F15" s="43" t="n">
        <x:v>2028</x:v>
      </x:c>
      <x:c r="G15" s="39"/>
      <x:c r="H15" s="39"/>
    </x:row>
    <x:row r="16">
      <x:c r="A16" s="43" t="str">
        <x:v>EPS_DENOMINATOR_SHARES</x:v>
      </x:c>
      <x:c r="B16" s="43" t="str">
        <x:v>H3B_ATTEMPT005</x:v>
      </x:c>
      <x:c r="C16" s="43" t="str">
        <x:v>BASE</x:v>
      </x:c>
      <x:c r="D16" s="43" t="str">
        <x:v>SHARES</x:v>
      </x:c>
      <x:c r="E16" s="43" t="n">
        <x:v>7402513660</x:v>
      </x:c>
      <x:c r="F16" s="43" t="n">
        <x:v>2029</x:v>
      </x:c>
      <x:c r="G16" s="39"/>
      <x:c r="H16" s="39"/>
    </x:row>
    <x:row r="17">
      <x:c r="A17" s="43" t="str">
        <x:v>IS_BASIC_EPS</x:v>
      </x:c>
      <x:c r="B17" s="43" t="str">
        <x:v>H3B_ATTEMPT005</x:v>
      </x:c>
      <x:c r="C17" s="43" t="str">
        <x:v>BASE</x:v>
      </x:c>
      <x:c r="D17" s="43" t="str">
        <x:v>RMB_PER_SHARE</x:v>
      </x:c>
      <x:c r="E17" s="43" t="n">
        <x:v>6.97284703</x:v>
      </x:c>
      <x:c r="F17" s="43" t="n">
        <x:v>2029</x:v>
      </x:c>
      <x:c r="G17" s="39"/>
      <x:c r="H17" s="39"/>
    </x:row>
    <x:row r="18">
      <x:c r="A18" s="43" t="str">
        <x:v>IS_DILUTED_EPS</x:v>
      </x:c>
      <x:c r="B18" s="43" t="str">
        <x:v>H3B_ATTEMPT005</x:v>
      </x:c>
      <x:c r="C18" s="43" t="str">
        <x:v>BASE</x:v>
      </x:c>
      <x:c r="D18" s="43" t="str">
        <x:v>RMB_PER_SHARE</x:v>
      </x:c>
      <x:c r="E18" s="43" t="n">
        <x:v>6.97284703</x:v>
      </x:c>
      <x:c r="F18" s="43" t="n">
        <x:v>2029</x:v>
      </x:c>
      <x:c r="G18" s="39"/>
      <x:c r="H18" s="39"/>
    </x:row>
    <x:row r="19">
      <x:c r="A19" s="43" t="str">
        <x:v>EPS_DENOMINATOR_SHARES</x:v>
      </x:c>
      <x:c r="B19" s="43" t="str">
        <x:v>H3B_ATTEMPT005</x:v>
      </x:c>
      <x:c r="C19" s="43" t="str">
        <x:v>BASE</x:v>
      </x:c>
      <x:c r="D19" s="43" t="str">
        <x:v>SHARES</x:v>
      </x:c>
      <x:c r="E19" s="43" t="n">
        <x:v>7402513660</x:v>
      </x:c>
      <x:c r="F19" s="43" t="n">
        <x:v>2030</x:v>
      </x:c>
      <x:c r="G19" s="39"/>
      <x:c r="H19" s="39"/>
    </x:row>
    <x:row r="20">
      <x:c r="A20" s="43" t="str">
        <x:v>IS_BASIC_EPS</x:v>
      </x:c>
      <x:c r="B20" s="43" t="str">
        <x:v>H3B_ATTEMPT005</x:v>
      </x:c>
      <x:c r="C20" s="43" t="str">
        <x:v>BASE</x:v>
      </x:c>
      <x:c r="D20" s="43" t="str">
        <x:v>RMB_PER_SHARE</x:v>
      </x:c>
      <x:c r="E20" s="43" t="n">
        <x:v>7.54275405</x:v>
      </x:c>
      <x:c r="F20" s="43" t="n">
        <x:v>2030</x:v>
      </x:c>
      <x:c r="G20" s="39"/>
      <x:c r="H20" s="39"/>
    </x:row>
    <x:row r="21">
      <x:c r="A21" s="43" t="str">
        <x:v>IS_DILUTED_EPS</x:v>
      </x:c>
      <x:c r="B21" s="43" t="str">
        <x:v>H3B_ATTEMPT005</x:v>
      </x:c>
      <x:c r="C21" s="43" t="str">
        <x:v>BASE</x:v>
      </x:c>
      <x:c r="D21" s="43" t="str">
        <x:v>RMB_PER_SHARE</x:v>
      </x:c>
      <x:c r="E21" s="43" t="n">
        <x:v>7.54275405</x:v>
      </x:c>
      <x:c r="F21" s="43" t="n">
        <x:v>2030</x:v>
      </x:c>
      <x:c r="G21" s="39"/>
      <x:c r="H21" s="39"/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.6299991607666" hidden="0" customWidth="1"/>
    <x:col min="2" max="2" width="97.62999725341797" hidden="0" customWidth="1"/>
  </x:cols>
  <x:sheetData>
    <x:row r="1">
      <x:c r="A1" s="37" t="str">
        <x:v>WACC | Source-proven July 2026 ERP</x:v>
      </x:c>
      <x:c r="B1" s="37"/>
      <x:c r="C1" s="37"/>
      <x:c r="D1" s="37"/>
      <x:c r="E1" s="37"/>
      <x:c r="F1" s="37"/>
      <x:c r="G1" s="37"/>
      <x:c r="H1" s="37"/>
    </x:row>
    <x:row r="2">
      <x:c r="A2" s="39"/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2" t="str">
        <x:v>Metric</x:v>
      </x:c>
      <x:c r="B4" s="42" t="str">
        <x:v>Value</x:v>
      </x:c>
      <x:c r="C4" s="39"/>
      <x:c r="D4" s="40" t="str">
        <x:v>Formula-linked calculation</x:v>
      </x:c>
      <x:c r="E4" s="40" t="str">
        <x:v>Value</x:v>
      </x:c>
      <x:c r="F4" s="39"/>
      <x:c r="G4" s="39"/>
      <x:c r="H4" s="39"/>
    </x:row>
    <x:row r="5">
      <x:c r="A5" s="43" t="str">
        <x:v>Beta</x:v>
      </x:c>
      <x:c r="B5" s="43" t="n">
        <x:v>0.78548427</x:v>
      </x:c>
      <x:c r="C5" s="39"/>
      <x:c r="D5" s="39" t="str">
        <x:v>Risk-free</x:v>
      </x:c>
      <x:c r="E5" s="55" t="n">
        <x:v>0.016899</x:v>
      </x:c>
      <x:c r="F5" s="39"/>
      <x:c r="G5" s="39"/>
      <x:c r="H5" s="39"/>
    </x:row>
    <x:row r="6">
      <x:c r="A6" s="43" t="str">
        <x:v>Beta_95pct_CI_High</x:v>
      </x:c>
      <x:c r="B6" s="43" t="n">
        <x:v>1.16956421</x:v>
      </x:c>
      <x:c r="C6" s="39"/>
      <x:c r="D6" s="39" t="str">
        <x:v>Rating ERP</x:v>
      </x:c>
      <x:c r="E6" s="55" t="n">
        <x:v>0.05072785839763368</x:v>
      </x:c>
      <x:c r="F6" s="39"/>
      <x:c r="G6" s="39"/>
      <x:c r="H6" s="39"/>
    </x:row>
    <x:row r="7">
      <x:c r="A7" s="43" t="str">
        <x:v>Beta_95pct_CI_Low</x:v>
      </x:c>
      <x:c r="B7" s="43" t="n">
        <x:v>0.40140433</x:v>
      </x:c>
      <x:c r="C7" s="39"/>
      <x:c r="D7" s="39" t="str">
        <x:v>CDS ERP</x:v>
      </x:c>
      <x:c r="E7" s="55" t="n">
        <x:v>0.04806253</x:v>
      </x:c>
      <x:c r="F7" s="39"/>
      <x:c r="G7" s="39"/>
      <x:c r="H7" s="39"/>
    </x:row>
    <x:row r="8">
      <x:c r="A8" s="43" t="str">
        <x:v>Capital_Structure_Date</x:v>
      </x:c>
      <x:c r="B8" s="43" t="str">
        <x:v>2026-05-13</x:v>
      </x:c>
      <x:c r="C8" s="39"/>
      <x:c r="D8" s="39" t="str">
        <x:v>Beta</x:v>
      </x:c>
      <x:c r="E8" s="56" t="n">
        <x:v>0.78548427</x:v>
      </x:c>
      <x:c r="F8" s="39"/>
      <x:c r="G8" s="39"/>
      <x:c r="H8" s="39"/>
    </x:row>
    <x:row r="9">
      <x:c r="A9" s="43" t="str">
        <x:v>Capital_Structure_Method</x:v>
      </x:c>
      <x:c r="B9" s="43" t="str">
        <x:v>LATEST_CERTIFIED_ACTUAL_PLUS_SOURCE_PROVEN_PRE_CUTOFF_CB_EVENT</x:v>
      </x:c>
      <x:c r="C9" s="39"/>
      <x:c r="D9" s="39" t="str">
        <x:v>Beta upper 95%</x:v>
      </x:c>
      <x:c r="E9" s="56" t="n">
        <x:v>1.16956421</x:v>
      </x:c>
      <x:c r="F9" s="39"/>
      <x:c r="G9" s="39"/>
      <x:c r="H9" s="39"/>
    </x:row>
    <x:row r="10">
      <x:c r="A10" s="43" t="str">
        <x:v>Cost_of_Equity</x:v>
      </x:c>
      <x:c r="B10" s="43" t="n">
        <x:v>0.05674493</x:v>
      </x:c>
      <x:c r="C10" s="39"/>
      <x:c r="D10" s="39" t="str">
        <x:v>Pre-tax debt cost</x:v>
      </x:c>
      <x:c r="E10" s="55" t="n">
        <x:v>0.017292</x:v>
      </x:c>
      <x:c r="F10" s="39"/>
      <x:c r="G10" s="39"/>
      <x:c r="H10" s="39"/>
    </x:row>
    <x:row r="11">
      <x:c r="A11" s="43" t="str">
        <x:v>Debt_RMB_Million</x:v>
      </x:c>
      <x:c r="B11" s="43" t="n">
        <x:v>68515.07687407</x:v>
      </x:c>
      <x:c r="C11" s="39"/>
      <x:c r="D11" s="39" t="str">
        <x:v>Tax rate</x:v>
      </x:c>
      <x:c r="E11" s="55" t="n">
        <x:v>0.15256553</x:v>
      </x:c>
      <x:c r="F11" s="39"/>
      <x:c r="G11" s="39"/>
      <x:c r="H11" s="39"/>
    </x:row>
    <x:row r="12">
      <x:c r="A12" s="43" t="str">
        <x:v>Debt_Weight</x:v>
      </x:c>
      <x:c r="B12" s="43" t="n">
        <x:v>0.09690192</x:v>
      </x:c>
      <x:c r="C12" s="39"/>
      <x:c r="D12" s="39" t="str">
        <x:v>Equity weight</x:v>
      </x:c>
      <x:c r="E12" s="55" t="n">
        <x:v>0.90309808</x:v>
      </x:c>
      <x:c r="F12" s="39"/>
      <x:c r="G12" s="39"/>
      <x:c r="H12" s="39"/>
    </x:row>
    <x:row r="13">
      <x:c r="A13" s="43" t="str">
        <x:v>ERP</x:v>
      </x:c>
      <x:c r="B13" s="43" t="n">
        <x:v>0.05072786</x:v>
      </x:c>
      <x:c r="C13" s="39"/>
      <x:c r="D13" s="39" t="str">
        <x:v>Debt weight</x:v>
      </x:c>
      <x:c r="E13" s="55" t="n">
        <x:v>0.09690192</x:v>
      </x:c>
      <x:c r="F13" s="39"/>
      <x:c r="G13" s="39"/>
      <x:c r="H13" s="39"/>
    </x:row>
    <x:row r="14">
      <x:c r="A14" s="43" t="str">
        <x:v>ERP_CDS_Alternative</x:v>
      </x:c>
      <x:c r="B14" s="43" t="n">
        <x:v>0.04806253</x:v>
      </x:c>
      <x:c r="C14" s="39"/>
      <x:c r="D14" s="39" t="str">
        <x:v>Cost of equity</x:v>
      </x:c>
      <x:c r="E14" s="55" t="n">
        <x:f>E5+E8*E6</x:f>
        <x:v>0.056744934822128654</x:v>
      </x:c>
      <x:c r="F14" s="39"/>
      <x:c r="G14" s="39"/>
      <x:c r="H14" s="39"/>
    </x:row>
    <x:row r="15">
      <x:c r="A15" s="43" t="str">
        <x:v>ERP_Full_Precision</x:v>
      </x:c>
      <x:c r="B15" s="43" t="n">
        <x:v>0.05072785839763368</x:v>
      </x:c>
      <x:c r="C15" s="39"/>
      <x:c r="D15" s="39" t="str">
        <x:v>WACC</x:v>
      </x:c>
      <x:c r="E15" s="55" t="n">
        <x:f>E14*E12+E10*(1-E11)*E13</x:f>
        <x:v>0.05266622661422905</x:v>
      </x:c>
      <x:c r="F15" s="39"/>
      <x:c r="G15" s="39"/>
      <x:c r="H15" s="39"/>
    </x:row>
    <x:row r="16">
      <x:c r="A16" s="43" t="str">
        <x:v>ERP_Method</x:v>
      </x:c>
      <x:c r="B16" s="43" t="str">
        <x:v>RATING_BASED_TOTAL_ERP</x:v>
      </x:c>
      <x:c r="C16" s="39"/>
      <x:c r="D16" s="39" t="str">
        <x:v>WACC low</x:v>
      </x:c>
      <x:c r="E16" s="55" t="n">
        <x:f>(E5+E8*E7)*E12+E10*(1-E11)*E13</x:f>
        <x:v>0.05077552437829199</x:v>
      </x:c>
      <x:c r="F16" s="39"/>
      <x:c r="G16" s="39"/>
      <x:c r="H16" s="39"/>
    </x:row>
    <x:row r="17">
      <x:c r="A17" s="43" t="str">
        <x:v>ERP_Source_Date</x:v>
      </x:c>
      <x:c r="B17" s="43" t="str">
        <x:v>2026-07-01</x:v>
      </x:c>
      <x:c r="C17" s="39"/>
      <x:c r="D17" s="39" t="str">
        <x:v>WACC high</x:v>
      </x:c>
      <x:c r="E17" s="55" t="n">
        <x:f>(E5+E9*E6)*E12+E10*(1-E11)*E13</x:f>
        <x:v>0.07026178574824017</x:v>
      </x:c>
      <x:c r="F17" s="39"/>
      <x:c r="G17" s="39"/>
      <x:c r="H17" s="39"/>
    </x:row>
    <x:row r="18">
      <x:c r="A18" s="43" t="str">
        <x:v>Equity_Weight</x:v>
      </x:c>
      <x:c r="B18" s="43" t="n">
        <x:v>0.90309808</x:v>
      </x:c>
      <x:c r="C18" s="39"/>
      <x:c r="D18" s="39" t="str">
        <x:v>Range method</x:v>
      </x:c>
      <x:c r="E18" s="39" t="str">
        <x:v>LOW_USES_DAMODARAN_CDS_ERP_WITH_BASE_BETA;HIGH_USES_95_PERCENT_OLS_BETA_UPPER_BOUND_WITH_RATING_ERP</x:v>
      </x:c>
      <x:c r="F18" s="39"/>
      <x:c r="G18" s="39"/>
      <x:c r="H18" s="39"/>
    </x:row>
    <x:row r="19">
      <x:c r="A19" s="43" t="str">
        <x:v>Market_Equity_RMB_Million</x:v>
      </x:c>
      <x:c r="B19" s="43" t="n">
        <x:v>638540.8283116</x:v>
      </x:c>
      <x:c r="C19" s="39"/>
      <x:c r="D19" s="39" t="str">
        <x:v>Check</x:v>
      </x:c>
      <x:c r="E19" s="39" t="str">
        <x:f>IF(AND(ABS(E15-0.05266623)&lt;0.0000001,ABS(E16-0.05077553)&lt;0.0000001,ABS(E17-0.07026179)&lt;0.0000001),"PASS","FAIL")</x:f>
        <x:v>PASS</x:v>
      </x:c>
      <x:c r="F19" s="39"/>
      <x:c r="G19" s="39"/>
      <x:c r="H19" s="39"/>
    </x:row>
    <x:row r="20">
      <x:c r="A20" s="43" t="str">
        <x:v>Model_Information_Cutoff</x:v>
      </x:c>
      <x:c r="B20" s="43" t="str">
        <x:v>2026-08-20</x:v>
      </x:c>
      <x:c r="C20" s="39"/>
      <x:c r="D20" s="39"/>
      <x:c r="E20" s="39"/>
      <x:c r="F20" s="39"/>
      <x:c r="G20" s="39"/>
      <x:c r="H20" s="39"/>
    </x:row>
    <x:row r="21">
      <x:c r="A21" s="43" t="str">
        <x:v>Operating_Forecast_Changes</x:v>
      </x:c>
      <x:c r="B21" s="43" t="n">
        <x:v>0</x:v>
      </x:c>
      <x:c r="C21" s="39"/>
      <x:c r="D21" s="39"/>
      <x:c r="E21" s="39"/>
      <x:c r="F21" s="39"/>
      <x:c r="G21" s="39"/>
      <x:c r="H21" s="39"/>
    </x:row>
    <x:row r="22">
      <x:c r="A22" s="43" t="str">
        <x:v>PreTax_Cost_of_Debt</x:v>
      </x:c>
      <x:c r="B22" s="43" t="n">
        <x:v>0.017292</x:v>
      </x:c>
      <x:c r="C22" s="39"/>
      <x:c r="D22" s="39"/>
      <x:c r="E22" s="39"/>
      <x:c r="F22" s="39"/>
      <x:c r="G22" s="39"/>
      <x:c r="H22" s="39"/>
    </x:row>
    <x:row r="23">
      <x:c r="A23" s="43" t="str">
        <x:v>Raw_Beta</x:v>
      </x:c>
      <x:c r="B23" s="43" t="n">
        <x:v>0.78548427</x:v>
      </x:c>
      <x:c r="C23" s="39"/>
      <x:c r="D23" s="39"/>
      <x:c r="E23" s="39"/>
      <x:c r="F23" s="39"/>
      <x:c r="G23" s="39"/>
      <x:c r="H23" s="39"/>
    </x:row>
    <x:row r="24">
      <x:c r="A24" s="43" t="str">
        <x:v>Risk_Free_Rate</x:v>
      </x:c>
      <x:c r="B24" s="43" t="n">
        <x:v>0.016899</x:v>
      </x:c>
      <x:c r="C24" s="39"/>
      <x:c r="D24" s="39"/>
      <x:c r="E24" s="39"/>
      <x:c r="F24" s="39"/>
      <x:c r="G24" s="39"/>
      <x:c r="H24" s="39"/>
    </x:row>
    <x:row r="25">
      <x:c r="A25" s="43" t="str">
        <x:v>Schema</x:v>
      </x:c>
      <x:c r="B25" s="43" t="str">
        <x:v>H4_WACC_FINAL_RELEASE_REVISION_R3</x:v>
      </x:c>
      <x:c r="C25" s="39"/>
      <x:c r="D25" s="39"/>
      <x:c r="E25" s="39"/>
      <x:c r="F25" s="39"/>
      <x:c r="G25" s="39"/>
      <x:c r="H25" s="39"/>
    </x:row>
    <x:row r="26">
      <x:c r="A26" s="43" t="str">
        <x:v>Status</x:v>
      </x:c>
      <x:c r="B26" s="43" t="str">
        <x:v>PASS</x:v>
      </x:c>
      <x:c r="C26" s="39"/>
      <x:c r="D26" s="39"/>
      <x:c r="E26" s="39"/>
      <x:c r="F26" s="39"/>
      <x:c r="G26" s="39"/>
      <x:c r="H26" s="39"/>
    </x:row>
    <x:row r="27">
      <x:c r="A27" s="43" t="str">
        <x:v>Tax_Rate</x:v>
      </x:c>
      <x:c r="B27" s="43" t="n">
        <x:v>0.15256553</x:v>
      </x:c>
      <x:c r="C27" s="39"/>
      <x:c r="D27" s="39"/>
      <x:c r="E27" s="39"/>
      <x:c r="F27" s="39"/>
      <x:c r="G27" s="39"/>
      <x:c r="H27" s="39"/>
    </x:row>
    <x:row r="28">
      <x:c r="A28" s="43" t="str">
        <x:v>Unlevered_Beta</x:v>
      </x:c>
      <x:c r="B28" s="43" t="n">
        <x:v>0.72001394</x:v>
      </x:c>
      <x:c r="C28" s="39"/>
      <x:c r="D28" s="39"/>
      <x:c r="E28" s="39"/>
      <x:c r="F28" s="39"/>
      <x:c r="G28" s="39"/>
      <x:c r="H28" s="39"/>
    </x:row>
    <x:row r="29">
      <x:c r="A29" s="43" t="str">
        <x:v>Valuation_Market_Data_Date</x:v>
      </x:c>
      <x:c r="B29" s="43" t="str">
        <x:v>2026-09-11</x:v>
      </x:c>
      <x:c r="C29" s="39"/>
      <x:c r="D29" s="39"/>
      <x:c r="E29" s="39"/>
      <x:c r="F29" s="39"/>
      <x:c r="G29" s="39"/>
      <x:c r="H29" s="39"/>
    </x:row>
    <x:row r="30">
      <x:c r="A30" s="43" t="str">
        <x:v>WACC</x:v>
      </x:c>
      <x:c r="B30" s="43" t="n">
        <x:v>0.05266623</x:v>
      </x:c>
      <x:c r="C30" s="39"/>
      <x:c r="D30" s="39"/>
      <x:c r="E30" s="39"/>
      <x:c r="F30" s="39"/>
      <x:c r="G30" s="39"/>
      <x:c r="H30" s="39"/>
    </x:row>
    <x:row r="31">
      <x:c r="A31" s="43" t="str">
        <x:v>WACC_High</x:v>
      </x:c>
      <x:c r="B31" s="43" t="n">
        <x:v>0.07026179</x:v>
      </x:c>
      <x:c r="C31" s="39"/>
      <x:c r="D31" s="39"/>
      <x:c r="E31" s="39"/>
      <x:c r="F31" s="39"/>
      <x:c r="G31" s="39"/>
      <x:c r="H31" s="39"/>
    </x:row>
    <x:row r="32">
      <x:c r="A32" s="43" t="str">
        <x:v>WACC_Low</x:v>
      </x:c>
      <x:c r="B32" s="43" t="n">
        <x:v>0.05077553</x:v>
      </x:c>
      <x:c r="C32" s="39"/>
      <x:c r="D32" s="39"/>
      <x:c r="E32" s="39"/>
      <x:c r="F32" s="39"/>
      <x:c r="G32" s="39"/>
      <x:c r="H32" s="39"/>
    </x:row>
    <x:row r="33">
      <x:c r="A33" s="43" t="str">
        <x:v>WACC_Range_Method</x:v>
      </x:c>
      <x:c r="B33" s="43" t="str">
        <x:v>LOW_USES_DAMODARAN_CDS_ERP_WITH_BASE_BETA;HIGH_USES_95_PERCENT_OLS_BETA_UPPER_BOUND_WITH_RATING_ERP</x:v>
      </x:c>
      <x:c r="C33" s="39"/>
      <x:c r="D33" s="39"/>
      <x:c r="E33" s="39"/>
      <x:c r="F33" s="39"/>
      <x:c r="G33" s="39"/>
      <x:c r="H33" s="39"/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.130000114440918" hidden="0" customWidth="1"/>
    <x:col min="2" max="2" width="10.25" hidden="0" customWidth="1"/>
    <x:col min="3" max="3" width="13" hidden="0" customWidth="1"/>
    <x:col min="4" max="4" width="8.130000114440918" hidden="0" customWidth="1"/>
    <x:col min="5" max="5" width="8.130000114440918" hidden="0" customWidth="1"/>
    <x:col min="6" max="6" width="8.130000114440918" hidden="0" customWidth="1"/>
    <x:col min="7" max="7" width="8.130000114440918" hidden="0" customWidth="1"/>
    <x:col min="8" max="8" width="8.13000011444091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.880000114440918" hidden="0" customWidth="1"/>
    <x:col min="15" max="15" width="11.630000114440918" hidden="0" customWidth="1"/>
    <x:col min="16" max="16" width="10.25" hidden="0" customWidth="1"/>
    <x:col min="17" max="17" width="12.880000114440918" hidden="0" customWidth="1"/>
  </x:cols>
  <x:sheetData>
    <x:row r="1">
      <x:c r="A1" s="37" t="str">
        <x:v>DCF Valuation | Formula-linked</x:v>
      </x:c>
      <x:c r="B1" s="37"/>
      <x:c r="C1" s="37"/>
      <x:c r="D1" s="37"/>
      <x:c r="E1" s="37"/>
      <x:c r="F1" s="37"/>
      <x:c r="G1" s="37"/>
      <x:c r="H1" s="37"/>
      <x:c r="I1" s="39"/>
      <x:c r="J1" s="39"/>
      <x:c r="K1" s="39"/>
      <x:c r="L1" s="39"/>
      <x:c r="M1" s="39"/>
      <x:c r="N1" s="39"/>
      <x:c r="O1" s="39"/>
      <x:c r="P1" s="39"/>
      <x:c r="Q1" s="39"/>
    </x:row>
    <x:row r="2">
      <x:c r="A2" s="38" t="str">
        <x:v>FCFF links to sheet 12; WACC links to sheet 14; bridge links to sheet 18</x:v>
      </x:c>
      <x:c r="B2" s="38"/>
      <x:c r="C2" s="38"/>
      <x:c r="D2" s="38"/>
      <x:c r="E2" s="38"/>
      <x:c r="F2" s="38"/>
      <x:c r="G2" s="38"/>
      <x:c r="H2" s="38"/>
      <x:c r="I2" s="39"/>
      <x:c r="J2" s="39"/>
      <x:c r="K2" s="39"/>
      <x:c r="L2" s="39"/>
      <x:c r="M2" s="39"/>
      <x:c r="N2" s="39"/>
      <x:c r="O2" s="39"/>
      <x:c r="P2" s="39"/>
      <x:c r="Q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</x:row>
    <x:row r="4">
      <x:c r="A4" s="42" t="str">
        <x:v>Scenario</x:v>
      </x:c>
      <x:c r="B4" s="42" t="str">
        <x:v>WACC</x:v>
      </x:c>
      <x:c r="C4" s="42" t="str">
        <x:v>Terminal growth</x:v>
      </x:c>
      <x:c r="D4" s="42" t="str">
        <x:v>2026 FCFF</x:v>
      </x:c>
      <x:c r="E4" s="42" t="str">
        <x:v>2027 FCFF</x:v>
      </x:c>
      <x:c r="F4" s="42" t="str">
        <x:v>2028 FCFF</x:v>
      </x:c>
      <x:c r="G4" s="42" t="str">
        <x:v>2029 FCFF</x:v>
      </x:c>
      <x:c r="H4" s="42" t="str">
        <x:v>2030 FCFF</x:v>
      </x:c>
      <x:c r="I4" s="42" t="str">
        <x:v>PV 2026</x:v>
      </x:c>
      <x:c r="J4" s="42" t="str">
        <x:v>PV 2027</x:v>
      </x:c>
      <x:c r="K4" s="42" t="str">
        <x:v>PV 2028</x:v>
      </x:c>
      <x:c r="L4" s="42" t="str">
        <x:v>PV 2029</x:v>
      </x:c>
      <x:c r="M4" s="42" t="str">
        <x:v>PV 2030</x:v>
      </x:c>
      <x:c r="N4" s="42" t="str">
        <x:v>PV explicit</x:v>
      </x:c>
      <x:c r="O4" s="42" t="str">
        <x:v>Terminal value</x:v>
      </x:c>
      <x:c r="P4" s="42" t="str">
        <x:v>PV terminal</x:v>
      </x:c>
      <x:c r="Q4" s="42" t="str">
        <x:v>Enterprise value</x:v>
      </x:c>
    </x:row>
    <x:row r="5">
      <x:c r="A5" s="43" t="str">
        <x:v>BEAR</x:v>
      </x:c>
      <x:c r="B5" s="44" t="n">
        <x:f>'14 WACC'!E17</x:f>
        <x:v>0.07026178574824017</x:v>
      </x:c>
      <x:c r="C5" s="44" t="n">
        <x:v>0.015</x:v>
      </x:c>
      <x:c r="D5" s="44" t="n">
        <x:v>25473.75670806</x:v>
      </x:c>
      <x:c r="E5" s="44" t="n">
        <x:v>38466.23738925</x:v>
      </x:c>
      <x:c r="F5" s="44" t="n">
        <x:v>40422.42913504</x:v>
      </x:c>
      <x:c r="G5" s="44" t="n">
        <x:v>42604.38181514</x:v>
      </x:c>
      <x:c r="H5" s="44" t="n">
        <x:v>45003.50258671</x:v>
      </x:c>
      <x:c r="I5" s="44" t="n">
        <x:f>D5/(1+$B5)^1</x:f>
        <x:v>23801.4260130299</x:v>
      </x:c>
      <x:c r="J5" s="44" t="n">
        <x:f>E5/(1+$B5)^2</x:f>
        <x:v>33581.467401319875</x:v>
      </x:c>
      <x:c r="K5" s="44" t="n">
        <x:f>F5/(1+$B5)^3</x:f>
        <x:v>32972.53601995607</x:v>
      </x:c>
      <x:c r="L5" s="44" t="n">
        <x:f>G5/(1+$B5)^4</x:f>
        <x:v>32470.88997826653</x:v>
      </x:c>
      <x:c r="M5" s="44" t="n">
        <x:f>H5/(1+$B5)^5</x:f>
        <x:v>32047.652359327352</x:v>
      </x:c>
      <x:c r="N5" s="44" t="n">
        <x:f>SUM(I5:M5)</x:f>
        <x:v>154873.97177189973</x:v>
      </x:c>
      <x:c r="O5" s="44" t="n">
        <x:f>H5*(1+C5)/(B5-C5)</x:f>
        <x:v>826584.8543804121</x:v>
      </x:c>
      <x:c r="P5" s="44" t="n">
        <x:f>O5/(1+B5)^5</x:f>
        <x:v>588623.1634444265</x:v>
      </x:c>
      <x:c r="Q5" s="44" t="n">
        <x:f>N5+P5</x:f>
        <x:v>743497.1352163262</x:v>
      </x:c>
    </x:row>
    <x:row r="6">
      <x:c r="A6" s="43" t="str">
        <x:v>BASE</x:v>
      </x:c>
      <x:c r="B6" s="44" t="n">
        <x:f>'14 WACC'!E15</x:f>
        <x:v>0.05266622661422905</x:v>
      </x:c>
      <x:c r="C6" s="44" t="n">
        <x:v>0.025</x:v>
      </x:c>
      <x:c r="D6" s="44" t="n">
        <x:v>43472.65156171</x:v>
      </x:c>
      <x:c r="E6" s="44" t="n">
        <x:v>50350.5021359</x:v>
      </x:c>
      <x:c r="F6" s="44" t="n">
        <x:v>54197.54304646</x:v>
      </x:c>
      <x:c r="G6" s="44" t="n">
        <x:v>58626.54292956</x:v>
      </x:c>
      <x:c r="H6" s="44" t="n">
        <x:v>63639.58236501</x:v>
      </x:c>
      <x:c r="I6" s="44" t="n">
        <x:f>D6/(1+$B6)^1</x:f>
        <x:v>41297.659659448196</x:v>
      </x:c>
      <x:c r="J6" s="44" t="n">
        <x:f>E6/(1+$B6)^2</x:f>
        <x:v>45438.33689693807</x:v>
      </x:c>
      <x:c r="K6" s="44" t="n">
        <x:f>F6/(1+$B6)^3</x:f>
        <x:v>46463.03028699568</x:v>
      </x:c>
      <x:c r="L6" s="44" t="n">
        <x:f>G6/(1+$B6)^4</x:f>
        <x:v>47745.39910825114</x:v>
      </x:c>
      <x:c r="M6" s="44" t="n">
        <x:f>H6/(1+$B6)^5</x:f>
        <x:v>49234.99225242375</x:v>
      </x:c>
      <x:c r="N6" s="44" t="n">
        <x:f>SUM(I6:M6)</x:f>
        <x:v>230179.41820405683</x:v>
      </x:c>
      <x:c r="O6" s="44" t="n">
        <x:f>H6*(1+C6)/(B6-C6)</x:f>
        <x:v>2357769.0168483774</x:v>
      </x:c>
      <x:c r="P6" s="44" t="n">
        <x:f>O6/(1+B6)^5</x:f>
        <x:v>1824096.4972353394</x:v>
      </x:c>
      <x:c r="Q6" s="44" t="n">
        <x:f>N6+P6</x:f>
        <x:v>2054275.9154393962</x:v>
      </x:c>
    </x:row>
    <x:row r="7">
      <x:c r="A7" s="43" t="str">
        <x:v>BULL</x:v>
      </x:c>
      <x:c r="B7" s="44" t="n">
        <x:f>'14 WACC'!E16</x:f>
        <x:v>0.05077552437829199</x:v>
      </x:c>
      <x:c r="C7" s="44" t="n">
        <x:v>0.03</x:v>
      </x:c>
      <x:c r="D7" s="44" t="n">
        <x:v>65207.50289787</x:v>
      </x:c>
      <x:c r="E7" s="44" t="n">
        <x:v>65947.97965126</x:v>
      </x:c>
      <x:c r="F7" s="44" t="n">
        <x:v>73832.59876338</x:v>
      </x:c>
      <x:c r="G7" s="44" t="n">
        <x:v>82908.40252909</x:v>
      </x:c>
      <x:c r="H7" s="44" t="n">
        <x:v>93312.431399</x:v>
      </x:c>
      <x:c r="I7" s="44" t="n">
        <x:f>D7/(1+$B7)^1</x:f>
        <x:v>62056.54907735984</x:v>
      </x:c>
      <x:c r="J7" s="44" t="n">
        <x:f>E7/(1+$B7)^2</x:f>
        <x:v>59728.49870651575</x:v>
      </x:c>
      <x:c r="K7" s="44" t="n">
        <x:f>F7/(1+$B7)^3</x:f>
        <x:v>63638.26199645695</x:v>
      </x:c>
      <x:c r="L7" s="44" t="n">
        <x:f>G7/(1+$B7)^4</x:f>
        <x:v>68007.80443259669</x:v>
      </x:c>
      <x:c r="M7" s="44" t="n">
        <x:f>H7/(1+$B7)^5</x:f>
        <x:v>72843.32553670906</x:v>
      </x:c>
      <x:c r="N7" s="44" t="n">
        <x:f>SUM(I7:M7)</x:f>
        <x:v>326274.4397496383</x:v>
      </x:c>
      <x:c r="O7" s="44" t="n">
        <x:f>H7*(1+C7)/(B7-C7)</x:f>
        <x:v>4626203.535993327</x:v>
      </x:c>
      <x:c r="P7" s="44" t="n">
        <x:f>O7/(1+B7)^5</x:f>
        <x:v>3611395.021210945</x:v>
      </x:c>
      <x:c r="Q7" s="44" t="n">
        <x:f>N7+P7</x:f>
        <x:v>3937669.4609605838</x:v>
      </x:c>
    </x:row>
    <x:row r="8">
      <x:c r="A8" s="43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</x:row>
    <x:row r="9">
      <x:c r="A9" s="43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</x:row>
    <x:row r="10">
      <x:c r="A10" s="42" t="str">
        <x:v>Scenario</x:v>
      </x:c>
      <x:c r="B10" s="59" t="str">
        <x:v>Equity value</x:v>
      </x:c>
      <x:c r="C10" s="59" t="str">
        <x:v>Shares million</x:v>
      </x:c>
      <x:c r="D10" s="59" t="str">
        <x:v>Per share</x:v>
      </x:c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</x:row>
    <x:row r="11">
      <x:c r="A11" s="43" t="str">
        <x:f>A5</x:f>
        <x:v>BEAR</x:v>
      </x:c>
      <x:c r="B11" s="44" t="n">
        <x:f>Q5+'18 EV Equity Bridge'!E19</x:f>
        <x:v>869340.0867519962</x:v>
      </x:c>
      <x:c r="C11" s="44" t="n">
        <x:v>7402.51416</x:v>
      </x:c>
      <x:c r="D11" s="44" t="n">
        <x:f>B11/C11</x:f>
        <x:v>117.4384902158696</x:v>
      </x:c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</x:row>
    <x:row r="12">
      <x:c r="A12" s="43" t="str">
        <x:f>A6</x:f>
        <x:v>BASE</x:v>
      </x:c>
      <x:c r="B12" s="44" t="n">
        <x:f>Q6+'18 EV Equity Bridge'!E19</x:f>
        <x:v>2180118.8669750663</x:v>
      </x:c>
      <x:c r="C12" s="44" t="n">
        <x:v>7402.51366</x:v>
      </x:c>
      <x:c r="D12" s="44" t="n">
        <x:f>B12/C12</x:f>
        <x:v>294.51061721851204</x:v>
      </x:c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</x:row>
    <x:row r="13">
      <x:c r="A13" s="43" t="str">
        <x:f>A7</x:f>
        <x:v>BULL</x:v>
      </x:c>
      <x:c r="B13" s="44" t="n">
        <x:f>Q7+'18 EV Equity Bridge'!E19</x:f>
        <x:v>4063512.412496254</x:v>
      </x:c>
      <x:c r="C13" s="44" t="n">
        <x:v>7402.51316</x:v>
      </x:c>
      <x:c r="D13" s="44" t="n">
        <x:f>B13/C13</x:f>
        <x:v>548.936871122868</x:v>
      </x:c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</x:row>
  </x:sheetData>
  <x:mergeCells>
    <x:mergeCell ref="A1:H1"/>
    <x:mergeCell ref="A2:H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sheetData>
    <x:row r="1">
      <x:c r="A1" s="37" t="str">
        <x:v>WACC / Terminal Growth Sensitivity | Formula-linked</x:v>
      </x:c>
      <x:c r="B1" s="37"/>
      <x:c r="C1" s="37"/>
      <x:c r="D1" s="37"/>
      <x:c r="E1" s="37"/>
      <x:c r="F1" s="37"/>
      <x:c r="G1" s="37"/>
      <x:c r="H1" s="37"/>
    </x:row>
    <x:row r="2">
      <x:c r="A2" s="39"/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64" t="str">
        <x:v>WACC / g</x:v>
      </x:c>
      <x:c r="B4" s="65" t="n">
        <x:v>0.01</x:v>
      </x:c>
      <x:c r="C4" s="65" t="n">
        <x:v>0.015</x:v>
      </x:c>
      <x:c r="D4" s="65" t="n">
        <x:v>0.02</x:v>
      </x:c>
      <x:c r="E4" s="65" t="n">
        <x:v>0.025</x:v>
      </x:c>
      <x:c r="F4" s="65" t="n">
        <x:v>0.03</x:v>
      </x:c>
      <x:c r="G4" s="39"/>
      <x:c r="H4" s="39"/>
    </x:row>
    <x:row r="5">
      <x:c r="A5" s="66" t="n">
        <x:v>0.05077553</x:v>
      </x:c>
      <x:c r="B5" s="67" t="n">
        <x:f>('12 FCFF'!$C$34/(1+$A5)^1+'12 FCFF'!$D$34/(1+$A5)^2+'12 FCFF'!$E$34/(1+$A5)^3+'12 FCFF'!$F$34/(1+$A5)^4+'12 FCFF'!$G$34/(1+$A5)^5+'12 FCFF'!$G$34*(1+B$4)/($A5-B$4)/(1+$A5)^5+'18 EV Equity Bridge'!$E$19)/7402.51366</x:f>
        <x:v>214.50158255612882</x:v>
      </x:c>
      <x:c r="C5" s="67" t="n">
        <x:f>('12 FCFF'!$C$34/(1+$A5)^1+'12 FCFF'!$D$34/(1+$A5)^2+'12 FCFF'!$E$34/(1+$A5)^3+'12 FCFF'!$F$34/(1+$A5)^4+'12 FCFF'!$G$34/(1+$A5)^5+'12 FCFF'!$G$34*(1+C$4)/($A5-C$4)/(1+$A5)^5+'18 EV Equity Bridge'!$E$19)/7402.51366</x:f>
        <x:v>238.67247102511928</x:v>
      </x:c>
      <x:c r="D5" s="67" t="n">
        <x:f>('12 FCFF'!$C$34/(1+$A5)^1+'12 FCFF'!$D$34/(1+$A5)^2+'12 FCFF'!$E$34/(1+$A5)^3+'12 FCFF'!$F$34/(1+$A5)^4+'12 FCFF'!$G$34/(1+$A5)^5+'12 FCFF'!$G$34*(1+D$4)/($A5-D$4)/(1+$A5)^5+'18 EV Equity Bridge'!$E$19)/7402.51366</x:f>
        <x:v>270.697290350537</x:v>
      </x:c>
      <x:c r="E5" s="67" t="n">
        <x:f>('12 FCFF'!$C$34/(1+$A5)^1+'12 FCFF'!$D$34/(1+$A5)^2+'12 FCFF'!$E$34/(1+$A5)^3+'12 FCFF'!$F$34/(1+$A5)^4+'12 FCFF'!$G$34/(1+$A5)^5+'12 FCFF'!$G$34*(1+E$4)/($A5-E$4)/(1+$A5)^5+'18 EV Equity Bridge'!$E$19)/7402.51366</x:f>
        <x:v>315.1466143613745</x:v>
      </x:c>
      <x:c r="F5" s="67" t="n">
        <x:f>('12 FCFF'!$C$34/(1+$A5)^1+'12 FCFF'!$D$34/(1+$A5)^2+'12 FCFF'!$E$34/(1+$A5)^3+'12 FCFF'!$F$34/(1+$A5)^4+'12 FCFF'!$G$34/(1+$A5)^5+'12 FCFF'!$G$34*(1+F$4)/($A5-F$4)/(1+$A5)^5+'18 EV Equity Bridge'!$E$19)/7402.51366</x:f>
        <x:v>380.990975712216</x:v>
      </x:c>
      <x:c r="G5" s="39"/>
      <x:c r="H5" s="39"/>
    </x:row>
    <x:row r="6">
      <x:c r="A6" s="66" t="n">
        <x:v>0.05172088</x:v>
      </x:c>
      <x:c r="B6" s="67" t="n">
        <x:f>('12 FCFF'!$C$34/(1+$A6)^1+'12 FCFF'!$D$34/(1+$A6)^2+'12 FCFF'!$E$34/(1+$A6)^3+'12 FCFF'!$F$34/(1+$A6)^4+'12 FCFF'!$G$34/(1+$A6)^5+'12 FCFF'!$G$34*(1+B$4)/($A6-B$4)/(1+$A6)^5+'18 EV Equity Bridge'!$E$19)/7402.51366</x:f>
        <x:v>209.91950290676618</x:v>
      </x:c>
      <x:c r="C6" s="67" t="n">
        <x:f>('12 FCFF'!$C$34/(1+$A6)^1+'12 FCFF'!$D$34/(1+$A6)^2+'12 FCFF'!$E$34/(1+$A6)^3+'12 FCFF'!$F$34/(1+$A6)^4+'12 FCFF'!$G$34/(1+$A6)^5+'12 FCFF'!$G$34*(1+C$4)/($A6-C$4)/(1+$A6)^5+'18 EV Equity Bridge'!$E$19)/7402.51366</x:f>
        <x:v>232.8519068312822</x:v>
      </x:c>
      <x:c r="D6" s="67" t="n">
        <x:f>('12 FCFF'!$C$34/(1+$A6)^1+'12 FCFF'!$D$34/(1+$A6)^2+'12 FCFF'!$E$34/(1+$A6)^3+'12 FCFF'!$F$34/(1+$A6)^4+'12 FCFF'!$G$34/(1+$A6)^5+'12 FCFF'!$G$34*(1+D$4)/($A6-D$4)/(1+$A6)^5+'18 EV Equity Bridge'!$E$19)/7402.51366</x:f>
        <x:v>263.01374572876136</x:v>
      </x:c>
      <x:c r="E6" s="67" t="n">
        <x:f>('12 FCFF'!$C$34/(1+$A6)^1+'12 FCFF'!$D$34/(1+$A6)^2+'12 FCFF'!$E$34/(1+$A6)^3+'12 FCFF'!$F$34/(1+$A6)^4+'12 FCFF'!$G$34/(1+$A6)^5+'12 FCFF'!$G$34*(1+E$4)/($A6-E$4)/(1+$A6)^5+'18 EV Equity Bridge'!$E$19)/7402.51366</x:f>
        <x:v>304.46332623410626</x:v>
      </x:c>
      <x:c r="F6" s="67" t="n">
        <x:f>('12 FCFF'!$C$34/(1+$A6)^1+'12 FCFF'!$D$34/(1+$A6)^2+'12 FCFF'!$E$34/(1+$A6)^3+'12 FCFF'!$F$34/(1+$A6)^4+'12 FCFF'!$G$34/(1+$A6)^5+'12 FCFF'!$G$34*(1+F$4)/($A6-F$4)/(1+$A6)^5+'18 EV Equity Bridge'!$E$19)/7402.51366</x:f>
        <x:v>364.9957341872088</x:v>
      </x:c>
      <x:c r="G6" s="39"/>
      <x:c r="H6" s="39"/>
    </x:row>
    <x:row r="7">
      <x:c r="A7" s="66" t="n">
        <x:v>0.05266623</x:v>
      </x:c>
      <x:c r="B7" s="67" t="n">
        <x:f>('12 FCFF'!$C$34/(1+$A7)^1+'12 FCFF'!$D$34/(1+$A7)^2+'12 FCFF'!$E$34/(1+$A7)^3+'12 FCFF'!$F$34/(1+$A7)^4+'12 FCFF'!$G$34/(1+$A7)^5+'12 FCFF'!$G$34*(1+B$4)/($A7-B$4)/(1+$A7)^5+'18 EV Equity Bridge'!$E$19)/7402.51366</x:f>
        <x:v>205.54083774165252</x:v>
      </x:c>
      <x:c r="C7" s="67" t="n">
        <x:f>('12 FCFF'!$C$34/(1+$A7)^1+'12 FCFF'!$D$34/(1+$A7)^2+'12 FCFF'!$E$34/(1+$A7)^3+'12 FCFF'!$F$34/(1+$A7)^4+'12 FCFF'!$G$34/(1+$A7)^5+'12 FCFF'!$G$34*(1+C$4)/($A7-C$4)/(1+$A7)^5+'18 EV Equity Bridge'!$E$19)/7402.51366</x:f>
        <x:v>227.3238993823843</x:v>
      </x:c>
      <x:c r="D7" s="67" t="n">
        <x:f>('12 FCFF'!$C$34/(1+$A7)^1+'12 FCFF'!$D$34/(1+$A7)^2+'12 FCFF'!$E$34/(1+$A7)^3+'12 FCFF'!$F$34/(1+$A7)^4+'12 FCFF'!$G$34/(1+$A7)^5+'12 FCFF'!$G$34*(1+D$4)/($A7-D$4)/(1+$A7)^5+'18 EV Equity Bridge'!$E$19)/7402.51366</x:f>
        <x:v>255.77533433730997</x:v>
      </x:c>
      <x:c r="E7" s="67" t="n">
        <x:f>('12 FCFF'!$C$34/(1+$A7)^1+'12 FCFF'!$D$34/(1+$A7)^2+'12 FCFF'!$E$34/(1+$A7)^3+'12 FCFF'!$F$34/(1+$A7)^4+'12 FCFF'!$G$34/(1+$A7)^5+'12 FCFF'!$G$34*(1+E$4)/($A7-E$4)/(1+$A7)^5+'18 EV Equity Bridge'!$E$19)/7402.51366</x:f>
        <x:v>294.5105827915543</x:v>
      </x:c>
      <x:c r="F7" s="67" t="n">
        <x:f>('12 FCFF'!$C$34/(1+$A7)^1+'12 FCFF'!$D$34/(1+$A7)^2+'12 FCFF'!$E$34/(1+$A7)^3+'12 FCFF'!$F$34/(1+$A7)^4+'12 FCFF'!$G$34/(1+$A7)^5+'12 FCFF'!$G$34*(1+F$4)/($A7-F$4)/(1+$A7)^5+'18 EV Equity Bridge'!$E$19)/7402.51366</x:f>
        <x:v>350.33524066864686</x:v>
      </x:c>
      <x:c r="G7" s="39"/>
      <x:c r="H7" s="39"/>
    </x:row>
    <x:row r="8">
      <x:c r="A8" s="66" t="n">
        <x:v>0.06146401</x:v>
      </x:c>
      <x:c r="B8" s="67" t="n">
        <x:f>('12 FCFF'!$C$34/(1+$A8)^1+'12 FCFF'!$D$34/(1+$A8)^2+'12 FCFF'!$E$34/(1+$A8)^3+'12 FCFF'!$F$34/(1+$A8)^4+'12 FCFF'!$G$34/(1+$A8)^5+'12 FCFF'!$G$34*(1+B$4)/($A8-B$4)/(1+$A8)^5+'18 EV Equity Bridge'!$E$19)/7402.51366</x:f>
        <x:v>172.52028656285938</x:v>
      </x:c>
      <x:c r="C8" s="67" t="n">
        <x:f>('12 FCFF'!$C$34/(1+$A8)^1+'12 FCFF'!$D$34/(1+$A8)^2+'12 FCFF'!$E$34/(1+$A8)^3+'12 FCFF'!$F$34/(1+$A8)^4+'12 FCFF'!$G$34/(1+$A8)^5+'12 FCFF'!$G$34*(1+C$4)/($A8-C$4)/(1+$A8)^5+'18 EV Equity Bridge'!$E$19)/7402.51366</x:f>
        <x:v>186.68072507713285</x:v>
      </x:c>
      <x:c r="D8" s="67" t="n">
        <x:f>('12 FCFF'!$C$34/(1+$A8)^1+'12 FCFF'!$D$34/(1+$A8)^2+'12 FCFF'!$E$34/(1+$A8)^3+'12 FCFF'!$F$34/(1+$A8)^4+'12 FCFF'!$G$34/(1+$A8)^5+'12 FCFF'!$G$34*(1+D$4)/($A8-D$4)/(1+$A8)^5+'18 EV Equity Bridge'!$E$19)/7402.51366</x:f>
        <x:v>204.2562791372192</x:v>
      </x:c>
      <x:c r="E8" s="67" t="n">
        <x:f>('12 FCFF'!$C$34/(1+$A8)^1+'12 FCFF'!$D$34/(1+$A8)^2+'12 FCFF'!$E$34/(1+$A8)^3+'12 FCFF'!$F$34/(1+$A8)^4+'12 FCFF'!$G$34/(1+$A8)^5+'12 FCFF'!$G$34*(1+E$4)/($A8-E$4)/(1+$A8)^5+'18 EV Equity Bridge'!$E$19)/7402.51366</x:f>
        <x:v>226.65180611308907</x:v>
      </x:c>
      <x:c r="F8" s="67" t="n">
        <x:f>('12 FCFF'!$C$34/(1+$A8)^1+'12 FCFF'!$D$34/(1+$A8)^2+'12 FCFF'!$E$34/(1+$A8)^3+'12 FCFF'!$F$34/(1+$A8)^4+'12 FCFF'!$G$34/(1+$A8)^5+'12 FCFF'!$G$34*(1+F$4)/($A8-F$4)/(1+$A8)^5+'18 EV Equity Bridge'!$E$19)/7402.51366</x:f>
        <x:v>256.16515658821095</x:v>
      </x:c>
      <x:c r="G8" s="39"/>
      <x:c r="H8" s="39"/>
    </x:row>
    <x:row r="9">
      <x:c r="A9" s="66" t="n">
        <x:v>0.07026179</x:v>
      </x:c>
      <x:c r="B9" s="67" t="n">
        <x:f>('12 FCFF'!$C$34/(1+$A9)^1+'12 FCFF'!$D$34/(1+$A9)^2+'12 FCFF'!$E$34/(1+$A9)^3+'12 FCFF'!$F$34/(1+$A9)^4+'12 FCFF'!$G$34/(1+$A9)^5+'12 FCFF'!$G$34*(1+B$4)/($A9-B$4)/(1+$A9)^5+'18 EV Equity Bridge'!$E$19)/7402.51366</x:f>
        <x:v>149.16261454309523</x:v>
      </x:c>
      <x:c r="C9" s="67" t="n">
        <x:f>('12 FCFF'!$C$34/(1+$A9)^1+'12 FCFF'!$D$34/(1+$A9)^2+'12 FCFF'!$E$34/(1+$A9)^3+'12 FCFF'!$F$34/(1+$A9)^4+'12 FCFF'!$G$34/(1+$A9)^5+'12 FCFF'!$G$34*(1+C$4)/($A9-C$4)/(1+$A9)^5+'18 EV Equity Bridge'!$E$19)/7402.51366</x:f>
        <x:v>159.00025733321746</x:v>
      </x:c>
      <x:c r="D9" s="67" t="n">
        <x:f>('12 FCFF'!$C$34/(1+$A9)^1+'12 FCFF'!$D$34/(1+$A9)^2+'12 FCFF'!$E$34/(1+$A9)^3+'12 FCFF'!$F$34/(1+$A9)^4+'12 FCFF'!$G$34/(1+$A9)^5+'12 FCFF'!$G$34*(1+D$4)/($A9-D$4)/(1+$A9)^5+'18 EV Equity Bridge'!$E$19)/7402.51366</x:f>
        <x:v>170.79518075145145</x:v>
      </x:c>
      <x:c r="E9" s="67" t="n">
        <x:f>('12 FCFF'!$C$34/(1+$A9)^1+'12 FCFF'!$D$34/(1+$A9)^2+'12 FCFF'!$E$34/(1+$A9)^3+'12 FCFF'!$F$34/(1+$A9)^4+'12 FCFF'!$G$34/(1+$A9)^5+'12 FCFF'!$G$34*(1+E$4)/($A9-E$4)/(1+$A9)^5+'18 EV Equity Bridge'!$E$19)/7402.51366</x:f>
        <x:v>185.19603809722872</x:v>
      </x:c>
      <x:c r="F9" s="67" t="n">
        <x:f>('12 FCFF'!$C$34/(1+$A9)^1+'12 FCFF'!$D$34/(1+$A9)^2+'12 FCFF'!$E$34/(1+$A9)^3+'12 FCFF'!$F$34/(1+$A9)^4+'12 FCFF'!$G$34/(1+$A9)^5+'12 FCFF'!$G$34*(1+F$4)/($A9-F$4)/(1+$A9)^5+'18 EV Equity Bridge'!$E$19)/7402.51366</x:f>
        <x:v>203.17370048465395</x:v>
      </x:c>
      <x:c r="G9" s="39"/>
      <x:c r="H9" s="39"/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.3799991607666" hidden="0" customWidth="1"/>
    <x:col min="2" max="2" width="34.380001068115234" hidden="0" customWidth="1"/>
  </x:cols>
  <x:sheetData>
    <x:row r="1">
      <x:c r="A1" s="37" t="str">
        <x:v>Reverse DCF | Formula-linked</x:v>
      </x:c>
      <x:c r="B1" s="37"/>
      <x:c r="C1" s="37"/>
      <x:c r="D1" s="37"/>
      <x:c r="E1" s="37"/>
      <x:c r="F1" s="37"/>
      <x:c r="G1" s="37"/>
      <x:c r="H1" s="37"/>
    </x:row>
    <x:row r="2">
      <x:c r="A2" s="39"/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2" t="str">
        <x:v>Metric</x:v>
      </x:c>
      <x:c r="B4" s="42" t="str">
        <x:v>Value</x:v>
      </x:c>
      <x:c r="C4" s="39"/>
      <x:c r="D4" s="40" t="str">
        <x:v>Recalculation</x:v>
      </x:c>
      <x:c r="E4" s="40" t="str">
        <x:v>Value</x:v>
      </x:c>
      <x:c r="F4" s="39"/>
      <x:c r="G4" s="39"/>
      <x:c r="H4" s="39"/>
    </x:row>
    <x:row r="5">
      <x:c r="A5" s="43" t="str">
        <x:v>Base_2030_FCFF</x:v>
      </x:c>
      <x:c r="B5" s="43" t="n">
        <x:v>63639.58236501</x:v>
      </x:c>
      <x:c r="C5" s="39"/>
      <x:c r="D5" s="39" t="str">
        <x:v>Market price</x:v>
      </x:c>
      <x:c r="E5" s="39" t="n">
        <x:v>86.26</x:v>
      </x:c>
      <x:c r="F5" s="39"/>
      <x:c r="G5" s="39"/>
      <x:c r="H5" s="39"/>
    </x:row>
    <x:row r="6">
      <x:c r="A6" s="43" t="str">
        <x:v>Base_Forecast_Altered</x:v>
      </x:c>
      <x:c r="B6" s="68" t="b">
        <x:v>0</x:v>
      </x:c>
      <x:c r="C6" s="39"/>
      <x:c r="D6" s="39" t="str">
        <x:v>Shares million</x:v>
      </x:c>
      <x:c r="E6" s="39" t="n">
        <x:v>7402.51366</x:v>
      </x:c>
      <x:c r="F6" s="39"/>
      <x:c r="G6" s="39"/>
      <x:c r="H6" s="39"/>
    </x:row>
    <x:row r="7">
      <x:c r="A7" s="43" t="str">
        <x:v>Base_Terminal_Growth</x:v>
      </x:c>
      <x:c r="B7" s="43" t="n">
        <x:v>0.025</x:v>
      </x:c>
      <x:c r="C7" s="39"/>
      <x:c r="D7" s="39" t="str">
        <x:v>Target equity value</x:v>
      </x:c>
      <x:c r="E7" s="39" t="n">
        <x:f>E5*E6</x:f>
        <x:v>638540.8283116</x:v>
      </x:c>
      <x:c r="F7" s="39"/>
      <x:c r="G7" s="39"/>
      <x:c r="H7" s="39"/>
    </x:row>
    <x:row r="8">
      <x:c r="A8" s="43" t="str">
        <x:v>Implied_2030_FCFF</x:v>
      </x:c>
      <x:c r="B8" s="43" t="n">
        <x:v>15882.9116186</x:v>
      </x:c>
      <x:c r="C8" s="39"/>
      <x:c r="D8" s="39" t="str">
        <x:v>Bridge adjustment</x:v>
      </x:c>
      <x:c r="E8" s="39" t="n">
        <x:f>'18 EV Equity Bridge'!E19</x:f>
        <x:v>125842.95153566997</x:v>
      </x:c>
      <x:c r="F8" s="39"/>
      <x:c r="G8" s="39"/>
      <x:c r="H8" s="39"/>
    </x:row>
    <x:row r="9">
      <x:c r="A9" s="43" t="str">
        <x:v>Implied_Terminal_Growth</x:v>
      </x:c>
      <x:c r="B9" s="43" t="n">
        <x:v>-0.10355826</x:v>
      </x:c>
      <x:c r="C9" s="39"/>
      <x:c r="D9" s="39" t="str">
        <x:v>Target enterprise value</x:v>
      </x:c>
      <x:c r="E9" s="39" t="n">
        <x:f>E7-E8</x:f>
        <x:v>512697.87677593005</x:v>
      </x:c>
      <x:c r="F9" s="39"/>
      <x:c r="G9" s="39"/>
      <x:c r="H9" s="39"/>
    </x:row>
    <x:row r="10">
      <x:c r="A10" s="43" t="str">
        <x:v>Implied_Uniform_FCFF_Scale</x:v>
      </x:c>
      <x:c r="B10" s="43" t="n">
        <x:v>0.24957599</x:v>
      </x:c>
      <x:c r="C10" s="39"/>
      <x:c r="D10" s="39" t="str">
        <x:v>Uniform FCFF scale</x:v>
      </x:c>
      <x:c r="E10" s="39" t="n">
        <x:f>E9/'15 DCF Valuation'!Q6</x:f>
        <x:v>0.249575956629111</x:v>
      </x:c>
      <x:c r="F10" s="39"/>
      <x:c r="G10" s="39"/>
      <x:c r="H10" s="39"/>
    </x:row>
    <x:row r="11">
      <x:c r="A11" s="43" t="str">
        <x:v>Market_Price_CNY</x:v>
      </x:c>
      <x:c r="B11" s="43" t="n">
        <x:v>86.26</x:v>
      </x:c>
      <x:c r="C11" s="39"/>
      <x:c r="D11" s="39"/>
      <x:c r="E11" s="39"/>
      <x:c r="F11" s="39"/>
      <x:c r="G11" s="39"/>
      <x:c r="H11" s="39"/>
    </x:row>
    <x:row r="12">
      <x:c r="A12" s="43" t="str">
        <x:v>Market_Reference_Date</x:v>
      </x:c>
      <x:c r="B12" s="43" t="str">
        <x:v>2026-09-11</x:v>
      </x:c>
      <x:c r="C12" s="39"/>
      <x:c r="D12" s="39"/>
      <x:c r="E12" s="39"/>
      <x:c r="F12" s="39"/>
      <x:c r="G12" s="39"/>
      <x:c r="H12" s="39"/>
    </x:row>
    <x:row r="13">
      <x:c r="A13" s="43" t="str">
        <x:v>Result</x:v>
      </x:c>
      <x:c r="B13" s="43" t="str">
        <x:v>MARKET_IMPLIES_LOWER_FCFF_THAN_BASE</x:v>
      </x:c>
      <x:c r="C13" s="39"/>
      <x:c r="D13" s="39"/>
      <x:c r="E13" s="39"/>
      <x:c r="F13" s="39"/>
      <x:c r="G13" s="39"/>
      <x:c r="H13" s="39"/>
    </x:row>
    <x:row r="14">
      <x:c r="A14" s="43" t="str">
        <x:v>Schema</x:v>
      </x:c>
      <x:c r="B14" s="43" t="str">
        <x:v>H5_REVERSE_DCF_R3</x:v>
      </x:c>
      <x:c r="C14" s="39"/>
      <x:c r="D14" s="39"/>
      <x:c r="E14" s="39"/>
      <x:c r="F14" s="39"/>
      <x:c r="G14" s="39"/>
      <x:c r="H14" s="39"/>
    </x:row>
    <x:row r="15">
      <x:c r="A15" s="43" t="str">
        <x:v>Target_Enterprise_Value</x:v>
      </x:c>
      <x:c r="B15" s="43" t="n">
        <x:v>512697.87677593</x:v>
      </x:c>
      <x:c r="C15" s="39"/>
      <x:c r="D15" s="39"/>
      <x:c r="E15" s="39"/>
      <x:c r="F15" s="39"/>
      <x:c r="G15" s="39"/>
      <x:c r="H15" s="39"/>
    </x:row>
    <x:row r="16">
      <x:c r="A16" s="43" t="str">
        <x:v>Target_Equity_Value</x:v>
      </x:c>
      <x:c r="B16" s="43" t="n">
        <x:v>638540.8283116</x:v>
      </x:c>
      <x:c r="C16" s="39"/>
      <x:c r="D16" s="39"/>
      <x:c r="E16" s="39"/>
      <x:c r="F16" s="39"/>
      <x:c r="G16" s="39"/>
      <x:c r="H16" s="39"/>
    </x:row>
  </x:sheetData>
  <x:mergeCells>
    <x:mergeCell ref="A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9.880001068115234" hidden="0" customWidth="1"/>
    <x:col min="2" max="2" width="11.75" hidden="0" customWidth="1"/>
    <x:col min="3" max="3" width="10.380000114440918" hidden="0" customWidth="1"/>
    <x:col min="4" max="4" width="27.6299991607666" hidden="0" customWidth="1"/>
    <x:col min="5" max="5" width="31.8799991607666" hidden="0" customWidth="1"/>
    <x:col min="6" max="6" width="15.380000114440918" hidden="0" customWidth="1"/>
    <x:col min="7" max="7" width="7.130000114440918" hidden="0" customWidth="1"/>
    <x:col min="8" max="8" width="21" hidden="0" customWidth="1"/>
    <x:col min="9" max="9" width="24.6299991607666" hidden="0" customWidth="1"/>
    <x:col min="10" max="10" width="70" hidden="0" customWidth="1"/>
    <x:col min="11" max="11" width="3.75" hidden="0" customWidth="1"/>
    <x:col min="12" max="12" width="5.25" hidden="0" customWidth="1"/>
    <x:col min="13" max="13" width="10.380000114440918" hidden="0" customWidth="1"/>
  </x:cols>
  <x:sheetData>
    <x:row r="1">
      <x:c r="A1" s="37" t="str">
        <x:v>Enterprise Value to Equity Bridge | Formula-linked</x:v>
      </x:c>
      <x:c r="B1" s="37"/>
      <x:c r="C1" s="37"/>
      <x:c r="D1" s="37"/>
      <x:c r="E1" s="37"/>
      <x:c r="F1" s="37"/>
      <x:c r="G1" s="37"/>
      <x:c r="H1" s="37"/>
      <x:c r="I1" s="39"/>
      <x:c r="J1" s="39"/>
      <x:c r="K1" s="39"/>
      <x:c r="L1" s="39"/>
      <x:c r="M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</x:row>
    <x:row r="4">
      <x:c r="A4" s="42" t="str">
        <x:v>Accounting_Metric</x:v>
      </x:c>
      <x:c r="B4" s="42" t="str">
        <x:v>Already_In_EV</x:v>
      </x:c>
      <x:c r="C4" s="42" t="str">
        <x:v>Amount</x:v>
      </x:c>
      <x:c r="D4" s="42" t="str">
        <x:v>Authority</x:v>
      </x:c>
      <x:c r="E4" s="42" t="str">
        <x:v>Bridge_Item</x:v>
      </x:c>
      <x:c r="F4" s="42" t="str">
        <x:v>Double_Count_Test</x:v>
      </x:c>
      <x:c r="G4" s="42" t="str">
        <x:v>Included</x:v>
      </x:c>
      <x:c r="H4" s="42" t="str">
        <x:v>Item</x:v>
      </x:c>
      <x:c r="I4" s="42" t="str">
        <x:v>Operating_or_NonOperating</x:v>
      </x:c>
      <x:c r="J4" s="42" t="str">
        <x:v>Reason</x:v>
      </x:c>
      <x:c r="K4" s="42" t="str">
        <x:v>Sign</x:v>
      </x:c>
      <x:c r="L4" s="42" t="str">
        <x:v>Status</x:v>
      </x:c>
      <x:c r="M4" s="42" t="str">
        <x:v>Value</x:v>
      </x:c>
    </x:row>
    <x:row r="5">
      <x:c r="A5" s="43" t="str">
        <x:v>FCFF_DCF_EV</x:v>
      </x:c>
      <x:c r="B5" s="43" t="str">
        <x:v>YES</x:v>
      </x:c>
      <x:c r="C5" s="43" t="n">
        <x:v>2054275.66059352</x:v>
      </x:c>
      <x:c r="D5" s="43" t="str">
        <x:v>H5_DCF</x:v>
      </x:c>
      <x:c r="E5" s="43" t="str">
        <x:v>Enterprise Value</x:v>
      </x:c>
      <x:c r="F5" s="43" t="str">
        <x:v>PASS</x:v>
      </x:c>
      <x:c r="G5" s="43" t="str">
        <x:v>BASE</x:v>
      </x:c>
      <x:c r="H5" s="43" t="str">
        <x:v>Enterprise value</x:v>
      </x:c>
      <x:c r="I5" s="43" t="str">
        <x:v>OPERATING</x:v>
      </x:c>
      <x:c r="J5" s="43" t="str">
        <x:v>DCF output</x:v>
      </x:c>
      <x:c r="K5" s="43" t="n">
        <x:v>1</x:v>
      </x:c>
      <x:c r="L5" s="43" t="str">
        <x:v>PASS</x:v>
      </x:c>
      <x:c r="M5" s="43" t="n">
        <x:v>2054275.66059352</x:v>
      </x:c>
    </x:row>
    <x:row r="6">
      <x:c r="A6" s="43" t="str">
        <x:v>CF_CLOSING_CASH_LESS_OPERATING_RESERVE</x:v>
      </x:c>
      <x:c r="B6" s="43" t="str">
        <x:v>NO</x:v>
      </x:c>
      <x:c r="C6" s="43" t="n">
        <x:v>30690.39540974</x:v>
      </x:c>
      <x:c r="D6" s="43" t="str">
        <x:v>H1_2020_2025_MIN_RATIO_POLICY</x:v>
      </x:c>
      <x:c r="E6" s="43" t="str">
        <x:v>Excess cash equivalents</x:v>
      </x:c>
      <x:c r="F6" s="43" t="str">
        <x:v>PASS</x:v>
      </x:c>
      <x:c r="G6" s="43" t="str">
        <x:v>YES</x:v>
      </x:c>
      <x:c r="H6" s="43" t="str">
        <x:v>Cash</x:v>
      </x:c>
      <x:c r="I6" s="43" t="str">
        <x:v>NON_OPERATING_EXCESS</x:v>
      </x:c>
      <x:c r="J6" s="43" t="str">
        <x:v>Cash equivalents above evidence-derived minimum historical cash/revenue operating reserve</x:v>
      </x:c>
      <x:c r="K6" s="43" t="n">
        <x:v>1</x:v>
      </x:c>
      <x:c r="L6" s="43" t="str">
        <x:v>PASS</x:v>
      </x:c>
      <x:c r="M6" s="43" t="n">
        <x:v>30690.39540974</x:v>
      </x:c>
    </x:row>
    <x:row r="7">
      <x:c r="A7" s="43" t="str">
        <x:v>CF_CLOSING_CASH</x:v>
      </x:c>
      <x:c r="B7" s="43" t="str">
        <x:v>YES</x:v>
      </x:c>
      <x:c r="C7" s="43" t="n">
        <x:v>37818.27459026</x:v>
      </x:c>
      <x:c r="D7" s="43" t="str">
        <x:v>H1_CERTIFIED_HISTORY</x:v>
      </x:c>
      <x:c r="E7" s="43" t="str">
        <x:v>Operating cash reserve</x:v>
      </x:c>
      <x:c r="F7" s="43" t="str">
        <x:v>PASS</x:v>
      </x:c>
      <x:c r="G7" s="43" t="str">
        <x:v>NO</x:v>
      </x:c>
      <x:c r="H7" s="43" t="str">
        <x:v>Operating cash</x:v>
      </x:c>
      <x:c r="I7" s="43" t="str">
        <x:v>OPERATING</x:v>
      </x:c>
      <x:c r="J7" s="43" t="str">
        <x:v>Minimum historical 2020-2025 cash-equivalents/revenue ratio retained in operations</x:v>
      </x:c>
      <x:c r="K7" s="43" t="n">
        <x:v>0</x:v>
      </x:c>
      <x:c r="L7" s="43" t="str">
        <x:v>PASS</x:v>
      </x:c>
      <x:c r="M7" s="43" t="n">
        <x:v>37818.27459026</x:v>
      </x:c>
    </x:row>
    <x:row r="8">
      <x:c r="A8" s="43" t="str">
        <x:v>BS_TERM_DEPOSITS</x:v>
      </x:c>
      <x:c r="B8" s="43" t="str">
        <x:v>NO</x:v>
      </x:c>
      <x:c r="C8" s="43" t="n">
        <x:v>11942.612</x:v>
      </x:c>
      <x:c r="D8" s="43" t="str">
        <x:v>H1_CERTIFIED_2025</x:v>
      </x:c>
      <x:c r="E8" s="43" t="str">
        <x:v>Term deposits</x:v>
      </x:c>
      <x:c r="F8" s="43" t="str">
        <x:v>PASS</x:v>
      </x:c>
      <x:c r="G8" s="43" t="str">
        <x:v>YES</x:v>
      </x:c>
      <x:c r="H8" s="43" t="str">
        <x:v>Term deposits</x:v>
      </x:c>
      <x:c r="I8" s="43" t="str">
        <x:v>NON_OPERATING_INVESTMENT</x:v>
      </x:c>
      <x:c r="J8" s="43" t="str">
        <x:v>Separately identified liquid treasury investment</x:v>
      </x:c>
      <x:c r="K8" s="43" t="n">
        <x:v>1</x:v>
      </x:c>
      <x:c r="L8" s="43" t="str">
        <x:v>PASS</x:v>
      </x:c>
      <x:c r="M8" s="43" t="n">
        <x:v>11942.612</x:v>
      </x:c>
    </x:row>
    <x:row r="9">
      <x:c r="A9" s="43" t="str">
        <x:v>BS_RESTRICTED_CASH</x:v>
      </x:c>
      <x:c r="B9" s="43" t="str">
        <x:v>NO</x:v>
      </x:c>
      <x:c r="C9" s="43" t="n">
        <x:v>4715.545</x:v>
      </x:c>
      <x:c r="D9" s="43" t="str">
        <x:v>H1_CERTIFIED_2025</x:v>
      </x:c>
      <x:c r="E9" s="43" t="str">
        <x:v>Restricted cash</x:v>
      </x:c>
      <x:c r="F9" s="43" t="str">
        <x:v>PASS</x:v>
      </x:c>
      <x:c r="G9" s="43" t="str">
        <x:v>NO</x:v>
      </x:c>
      <x:c r="H9" s="43" t="str">
        <x:v>Restricted cash</x:v>
      </x:c>
      <x:c r="I9" s="43" t="str">
        <x:v>NOT_EQUITY_AVAILABLE</x:v>
      </x:c>
      <x:c r="J9" s="43" t="str">
        <x:v>Unavailable to ordinary equity holders</x:v>
      </x:c>
      <x:c r="K9" s="43" t="n">
        <x:v>0</x:v>
      </x:c>
      <x:c r="L9" s="43" t="str">
        <x:v>PASS</x:v>
      </x:c>
      <x:c r="M9" s="43" t="n">
        <x:v>4715.545</x:v>
      </x:c>
    </x:row>
    <x:row r="10">
      <x:c r="A10" s="43" t="str">
        <x:v>BS_CASH_TAXONOMY_OTHER</x:v>
      </x:c>
      <x:c r="B10" s="43" t="str">
        <x:v>NO</x:v>
      </x:c>
      <x:c r="C10" s="43" t="n">
        <x:v>80.323</x:v>
      </x:c>
      <x:c r="D10" s="43" t="str">
        <x:v>P0_CASH_RECONCILIATION</x:v>
      </x:c>
      <x:c r="E10" s="43" t="str">
        <x:v>Other bank-balance taxonomy adjustment</x:v>
      </x:c>
      <x:c r="F10" s="43" t="str">
        <x:v>PASS</x:v>
      </x:c>
      <x:c r="G10" s="43" t="str">
        <x:v>NO</x:v>
      </x:c>
      <x:c r="H10" s="43" t="str">
        <x:v>Cash taxonomy other</x:v>
      </x:c>
      <x:c r="I10" s="43" t="str">
        <x:v>NOT_EQUITY_AVAILABLE</x:v>
      </x:c>
      <x:c r="J10" s="43" t="str">
        <x:v>Derived classification residual lacks evidence of equity availability</x:v>
      </x:c>
      <x:c r="K10" s="43" t="n">
        <x:v>0</x:v>
      </x:c>
      <x:c r="L10" s="43" t="str">
        <x:v>PASS</x:v>
      </x:c>
      <x:c r="M10" s="43" t="n">
        <x:v>80.323</x:v>
      </x:c>
    </x:row>
    <x:row r="11">
      <x:c r="A11" s="43" t="str">
        <x:v>TRADING_PLUS_LONG_TERM_PLUS_OTHER_NONCURRENT_FINANCIAL_ASSETS</x:v>
      </x:c>
      <x:c r="B11" s="43" t="str">
        <x:v>NO</x:v>
      </x:c>
      <x:c r="C11" s="43" t="n">
        <x:v>10271.85</x:v>
      </x:c>
      <x:c r="D11" s="43" t="str">
        <x:v>H1_CERTIFIED_2025</x:v>
      </x:c>
      <x:c r="E11" s="43" t="str">
        <x:v>Non-operating financial investments</x:v>
      </x:c>
      <x:c r="F11" s="43" t="str">
        <x:v>PASS</x:v>
      </x:c>
      <x:c r="G11" s="43" t="str">
        <x:v>YES</x:v>
      </x:c>
      <x:c r="H11" s="43" t="str">
        <x:v>Other financial investments</x:v>
      </x:c>
      <x:c r="I11" s="43" t="str">
        <x:v>NON_OPERATING</x:v>
      </x:c>
      <x:c r="J11" s="43" t="str">
        <x:v>Separate investment assets outside operating FCFF</x:v>
      </x:c>
      <x:c r="K11" s="43" t="n">
        <x:v>1</x:v>
      </x:c>
      <x:c r="L11" s="43" t="str">
        <x:v>PASS</x:v>
      </x:c>
      <x:c r="M11" s="43" t="n">
        <x:v>10271.85</x:v>
      </x:c>
    </x:row>
    <x:row r="12">
      <x:c r="A12" s="43" t="str">
        <x:v>BS_DERIVATIVE_FINANCIAL_ASSETS</x:v>
      </x:c>
      <x:c r="B12" s="43" t="str">
        <x:v>YES</x:v>
      </x:c>
      <x:c r="C12" s="43" t="n">
        <x:v>2223.159</x:v>
      </x:c>
      <x:c r="D12" s="43" t="str">
        <x:v>GOVERNED_POLICY</x:v>
      </x:c>
      <x:c r="E12" s="43" t="str">
        <x:v>Derivative financial assets</x:v>
      </x:c>
      <x:c r="F12" s="43" t="str">
        <x:v>PASS</x:v>
      </x:c>
      <x:c r="G12" s="43" t="str">
        <x:v>NO</x:v>
      </x:c>
      <x:c r="H12" s="43" t="str">
        <x:v>Derivative assets</x:v>
      </x:c>
      <x:c r="I12" s="43" t="str">
        <x:v>OPERATING_OR_HEDGING</x:v>
      </x:c>
      <x:c r="J12" s="43" t="str">
        <x:v>Conservatively retained with operations to avoid double counting hedge economics</x:v>
      </x:c>
      <x:c r="K12" s="43" t="n">
        <x:v>0</x:v>
      </x:c>
      <x:c r="L12" s="43" t="str">
        <x:v>PASS</x:v>
      </x:c>
      <x:c r="M12" s="43" t="n">
        <x:v>2223.159</x:v>
      </x:c>
    </x:row>
    <x:row r="13">
      <x:c r="A13" s="43" t="str">
        <x:v>BS_RECEIVABLES_FINANCING</x:v>
      </x:c>
      <x:c r="B13" s="43" t="str">
        <x:v>YES</x:v>
      </x:c>
      <x:c r="C13" s="43" t="n">
        <x:v>14935.344</x:v>
      </x:c>
      <x:c r="D13" s="43" t="str">
        <x:v>GOVERNED_POLICY</x:v>
      </x:c>
      <x:c r="E13" s="43" t="str">
        <x:v>Receivables financing</x:v>
      </x:c>
      <x:c r="F13" s="43" t="str">
        <x:v>PASS</x:v>
      </x:c>
      <x:c r="G13" s="43" t="str">
        <x:v>NO</x:v>
      </x:c>
      <x:c r="H13" s="43" t="str">
        <x:v>Receivables financing</x:v>
      </x:c>
      <x:c r="I13" s="43" t="str">
        <x:v>OPERATING_WORKING_CAPITAL</x:v>
      </x:c>
      <x:c r="J13" s="43" t="str">
        <x:v>Operating working-capital item</x:v>
      </x:c>
      <x:c r="K13" s="43" t="n">
        <x:v>0</x:v>
      </x:c>
      <x:c r="L13" s="43" t="str">
        <x:v>PASS</x:v>
      </x:c>
      <x:c r="M13" s="43" t="n">
        <x:v>14935.344</x:v>
      </x:c>
    </x:row>
    <x:row r="14">
      <x:c r="A14" s="43" t="str">
        <x:v>LATEST_CERTIFIED_ACTUAL_PLUS_PRE_CUTOFF_CB</x:v>
      </x:c>
      <x:c r="B14" s="43" t="str">
        <x:v>NO</x:v>
      </x:c>
      <x:c r="C14" s="43" t="n">
        <x:v>68515.07687407</x:v>
      </x:c>
      <x:c r="D14" s="43" t="str">
        <x:v>H2_PLUS_H3AS3_EVENT_SCHEDULE</x:v>
      </x:c>
      <x:c r="E14" s="43" t="str">
        <x:v>Interest-bearing debt</x:v>
      </x:c>
      <x:c r="F14" s="43" t="str">
        <x:v>PASS</x:v>
      </x:c>
      <x:c r="G14" s="43" t="str">
        <x:v>YES</x:v>
      </x:c>
      <x:c r="H14" s="43" t="str">
        <x:v>Debt</x:v>
      </x:c>
      <x:c r="I14" s="43" t="str">
        <x:v>FINANCING</x:v>
      </x:c>
      <x:c r="J14" s="43" t="str">
        <x:v>H2 2026Q1 debt plus May 2026 convertible-bond carrying amounts</x:v>
      </x:c>
      <x:c r="K14" s="43" t="n">
        <x:v>-1</x:v>
      </x:c>
      <x:c r="L14" s="43" t="str">
        <x:v>PASS</x:v>
      </x:c>
      <x:c r="M14" s="43" t="n">
        <x:v>68515.07687407</x:v>
      </x:c>
    </x:row>
    <x:row r="15">
      <x:c r="A15" s="43" t="str">
        <x:v>BS_CURRENT_PORTION_NONCURRENT_ASSETS_TREASURY</x:v>
      </x:c>
      <x:c r="B15" s="43" t="str">
        <x:v>NO</x:v>
      </x:c>
      <x:c r="C15" s="43" t="n">
        <x:v>155362.528</x:v>
      </x:c>
      <x:c r="D15" s="43" t="str">
        <x:v>2025_CAS_NOTE_9</x:v>
      </x:c>
      <x:c r="E15" s="43" t="str">
        <x:v>Current fixed-income treasury products</x:v>
      </x:c>
      <x:c r="F15" s="43" t="str">
        <x:v>PASS</x:v>
      </x:c>
      <x:c r="G15" s="43" t="str">
        <x:v>YES</x:v>
      </x:c>
      <x:c r="H15" s="43" t="str">
        <x:v>Current treasury products</x:v>
      </x:c>
      <x:c r="I15" s="43" t="str">
        <x:v>NON_OPERATING_INVESTMENT</x:v>
      </x:c>
      <x:c r="J15" s="43" t="str">
        <x:v>2025 CAS note 9 identifies current other non-current assets as treasury products.</x:v>
      </x:c>
      <x:c r="K15" s="43" t="n">
        <x:v>1</x:v>
      </x:c>
      <x:c r="L15" s="43" t="str">
        <x:v>PASS</x:v>
      </x:c>
      <x:c r="M15" s="43" t="n">
        <x:v>155362.528</x:v>
      </x:c>
    </x:row>
    <x:row r="16">
      <x:c r="A16" s="43" t="str">
        <x:v>BS_TRADING_FINANCIAL_LIABILITIES</x:v>
      </x:c>
      <x:c r="B16" s="43" t="str">
        <x:v>NO</x:v>
      </x:c>
      <x:c r="C16" s="43" t="n">
        <x:v>706.439</x:v>
      </x:c>
      <x:c r="D16" s="43" t="str">
        <x:v>2025_CAS_CURRENT_LIABILITIES</x:v>
      </x:c>
      <x:c r="E16" s="43" t="str">
        <x:v>Fund-investor financial liability</x:v>
      </x:c>
      <x:c r="F16" s="43" t="str">
        <x:v>PASS</x:v>
      </x:c>
      <x:c r="G16" s="43" t="str">
        <x:v>YES</x:v>
      </x:c>
      <x:c r="H16" s="43" t="str">
        <x:v>Trading financial liability</x:v>
      </x:c>
      <x:c r="I16" s="43" t="str">
        <x:v>FINANCING</x:v>
      </x:c>
      <x:c r="J16" s="43" t="str">
        <x:v>2025 CAS current-liability disclosure; excluded from operating NWC and deducted from EV.</x:v>
      </x:c>
      <x:c r="K16" s="43" t="n">
        <x:v>-1</x:v>
      </x:c>
      <x:c r="L16" s="43" t="str">
        <x:v>PASS</x:v>
      </x:c>
      <x:c r="M16" s="43" t="n">
        <x:v>706.439</x:v>
      </x:c>
    </x:row>
    <x:row r="17">
      <x:c r="A17" s="43" t="str">
        <x:v>BS_NCI</x:v>
      </x:c>
      <x:c r="B17" s="43" t="str">
        <x:v>NO</x:v>
      </x:c>
      <x:c r="C17" s="43" t="n">
        <x:v>13202.918</x:v>
      </x:c>
      <x:c r="D17" s="43" t="str">
        <x:v>H1_CERTIFIED_2025</x:v>
      </x:c>
      <x:c r="E17" s="43" t="str">
        <x:v>Non-controlling interests</x:v>
      </x:c>
      <x:c r="F17" s="43" t="str">
        <x:v>PASS</x:v>
      </x:c>
      <x:c r="G17" s="43" t="str">
        <x:v>YES</x:v>
      </x:c>
      <x:c r="H17" s="43" t="str">
        <x:v>NCI</x:v>
      </x:c>
      <x:c r="I17" s="43" t="str">
        <x:v>FINANCING</x:v>
      </x:c>
      <x:c r="J17" s="43" t="str">
        <x:v>Enterprise value includes consolidated subsidiaries</x:v>
      </x:c>
      <x:c r="K17" s="43" t="n">
        <x:v>-1</x:v>
      </x:c>
      <x:c r="L17" s="43" t="str">
        <x:v>PASS</x:v>
      </x:c>
      <x:c r="M17" s="43" t="n">
        <x:v>13202.918</x:v>
      </x:c>
    </x:row>
    <x:row r="18">
      <x:c r="A18" s="43" t="str">
        <x:v>DCF_EQUITY_VALUE</x:v>
      </x:c>
      <x:c r="B18" s="43" t="str">
        <x:v>NA</x:v>
      </x:c>
      <x:c r="C18" s="43" t="n">
        <x:v>2180118.61212919</x:v>
      </x:c>
      <x:c r="D18" s="43" t="str">
        <x:v>H5_DCF</x:v>
      </x:c>
      <x:c r="E18" s="43" t="str">
        <x:v>Equity Value</x:v>
      </x:c>
      <x:c r="F18" s="43" t="str">
        <x:v>PASS</x:v>
      </x:c>
      <x:c r="G18" s="43" t="str">
        <x:v>RESULT</x:v>
      </x:c>
      <x:c r="H18" s="43" t="str">
        <x:v>Equity value</x:v>
      </x:c>
      <x:c r="I18" s="43" t="str">
        <x:v>EQUITY</x:v>
      </x:c>
      <x:c r="J18" s="43" t="str">
        <x:v>EV plus included signed adjustments</x:v>
      </x:c>
      <x:c r="K18" s="43" t="n">
        <x:v>1</x:v>
      </x:c>
      <x:c r="L18" s="43" t="str">
        <x:v>PASS</x:v>
      </x:c>
      <x:c r="M18" s="43" t="n">
        <x:v>2180118.61212919</x:v>
      </x:c>
    </x:row>
    <x:row r="19">
      <x:c r="A19" s="70" t="str">
        <x:v>Included signed EV-to-equity adjustment</x:v>
      </x:c>
      <x:c r="B19" s="70"/>
      <x:c r="C19" s="70"/>
      <x:c r="D19" s="70"/>
      <x:c r="E19" s="70" t="n">
        <x:f>K6*C6+K8*C8+K11*C11+K14*C14+K15*C15+K16*C16+K17*C17</x:f>
        <x:v>125842.95153566997</x:v>
      </x:c>
      <x:c r="F19" s="39"/>
      <x:c r="G19" s="39"/>
      <x:c r="H19" s="39"/>
      <x:c r="I19" s="39"/>
      <x:c r="J19" s="39"/>
      <x:c r="K19" s="39"/>
      <x:c r="L19" s="39"/>
      <x:c r="M19" s="39"/>
    </x:row>
  </x:sheetData>
  <x:mergeCells>
    <x:mergeCell ref="A1:H1"/>
    <x:mergeCell ref="A19:D19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.1299991607666" hidden="0" customWidth="1"/>
    <x:col min="2" max="2" width="13.75" hidden="0" customWidth="1"/>
    <x:col min="3" max="3" width="6" hidden="0" customWidth="1"/>
    <x:col min="4" max="4" width="10.380000114440918" hidden="0" customWidth="1"/>
    <x:col min="5" max="5" width="9.880000114440918" hidden="0" customWidth="1"/>
    <x:col min="6" max="6" width="10.75" hidden="0" customWidth="1"/>
    <x:col min="7" max="7" width="10.75" hidden="0" customWidth="1"/>
    <x:col min="8" max="8" width="10.75" hidden="0" customWidth="1"/>
    <x:col min="9" max="9" width="11" hidden="0" customWidth="1"/>
    <x:col min="10" max="10" width="10.75" hidden="0" customWidth="1"/>
    <x:col min="11" max="11" width="10.75" hidden="0" customWidth="1"/>
    <x:col min="12" max="12" width="10.880000114440918" hidden="0" customWidth="1"/>
    <x:col min="13" max="13" width="10.75" hidden="0" customWidth="1"/>
    <x:col min="14" max="14" width="9.880000114440918" hidden="0" customWidth="1"/>
    <x:col min="15" max="15" width="10.380000114440918" hidden="0" customWidth="1"/>
    <x:col min="16" max="16" width="10.380000114440918" hidden="0" customWidth="1"/>
    <x:col min="17" max="17" width="10.380000114440918" hidden="0" customWidth="1"/>
    <x:col min="18" max="18" width="9.380000114440918" hidden="0" customWidth="1"/>
    <x:col min="19" max="19" width="15.25" hidden="0" customWidth="1"/>
    <x:col min="20" max="20" width="14.25" hidden="0" customWidth="1"/>
    <x:col min="21" max="21" width="12.130000114440918" hidden="0" customWidth="1"/>
    <x:col min="22" max="22" width="10.380000114440918" hidden="0" customWidth="1"/>
    <x:col min="23" max="23" width="9.380000114440918" hidden="0" customWidth="1"/>
  </x:cols>
  <x:sheetData>
    <x:row r="1">
      <x:c r="A1" s="37" t="str">
        <x:v>Comparable Companies | Source-native TTM</x:v>
      </x:c>
      <x:c r="B1" s="37"/>
      <x:c r="C1" s="37"/>
      <x:c r="D1" s="37"/>
      <x:c r="E1" s="37"/>
      <x:c r="F1" s="37"/>
      <x:c r="G1" s="37"/>
      <x:c r="H1" s="37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</x:row>
    <x:row r="2">
      <x:c r="A2" s="38" t="str">
        <x:v>Selected medians use eligible peers; values remain in native currency ratios</x:v>
      </x:c>
      <x:c r="B2" s="38"/>
      <x:c r="C2" s="38"/>
      <x:c r="D2" s="38"/>
      <x:c r="E2" s="38"/>
      <x:c r="F2" s="38"/>
      <x:c r="G2" s="38"/>
      <x:c r="H2" s="38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</x:row>
    <x:row r="4">
      <x:c r="A4" s="42" t="str">
        <x:v>Peer</x:v>
      </x:c>
      <x:c r="B4" s="42" t="str">
        <x:v>Class</x:v>
      </x:c>
      <x:c r="C4" s="42" t="str">
        <x:v>Eligible</x:v>
      </x:c>
      <x:c r="D4" s="42" t="str">
        <x:v>Price</x:v>
      </x:c>
      <x:c r="E4" s="42" t="str">
        <x:v>Shares</x:v>
      </x:c>
      <x:c r="F4" s="42" t="str">
        <x:v>Debt</x:v>
      </x:c>
      <x:c r="G4" s="42" t="str">
        <x:v>Cash</x:v>
      </x:c>
      <x:c r="H4" s="42" t="str">
        <x:v>NCI</x:v>
      </x:c>
      <x:c r="I4" s="42" t="str">
        <x:v>Revenue TTM</x:v>
      </x:c>
      <x:c r="J4" s="42" t="str">
        <x:v>EBITDA TTM</x:v>
      </x:c>
      <x:c r="K4" s="42" t="str">
        <x:v>EBIT TTM</x:v>
      </x:c>
      <x:c r="L4" s="42" t="str">
        <x:v>Earnings TTM</x:v>
      </x:c>
      <x:c r="M4" s="42" t="str">
        <x:v>Book Equity</x:v>
      </x:c>
      <x:c r="N4" s="42" t="str">
        <x:v>EV/Revenue</x:v>
      </x:c>
      <x:c r="O4" s="42" t="str">
        <x:v>EV/EBITDA</x:v>
      </x:c>
      <x:c r="P4" s="42" t="str">
        <x:v>EV/EBIT</x:v>
      </x:c>
      <x:c r="Q4" s="42" t="str">
        <x:v>P/E</x:v>
      </x:c>
      <x:c r="R4" s="42" t="str">
        <x:v>P/B</x:v>
      </x:c>
      <x:c r="S4" s="43" t="str">
        <x:v>Eligible EV/Revenue</x:v>
      </x:c>
      <x:c r="T4" s="43" t="str">
        <x:v>Eligible EV/EBITDA</x:v>
      </x:c>
      <x:c r="U4" s="43" t="str">
        <x:v>Eligible EV/EBIT</x:v>
      </x:c>
      <x:c r="V4" s="43" t="str">
        <x:v>Eligible P/E</x:v>
      </x:c>
      <x:c r="W4" s="43" t="str">
        <x:v>Eligible P/B</x:v>
      </x:c>
    </x:row>
    <x:row r="5">
      <x:c r="A5" s="43" t="str">
        <x:v>GREE</x:v>
      </x:c>
      <x:c r="B5" s="43" t="str">
        <x:v>CORE PEER</x:v>
      </x:c>
      <x:c r="C5" s="43" t="n">
        <x:v>1</x:v>
      </x:c>
      <x:c r="D5" s="43" t="n">
        <x:v>38.74000168</x:v>
      </x:c>
      <x:c r="E5" s="43" t="n">
        <x:v>5601405741</x:v>
      </x:c>
      <x:c r="F5" s="43" t="n">
        <x:v>83636823292.97</x:v>
      </x:c>
      <x:c r="G5" s="43" t="n">
        <x:v>162666835090.81</x:v>
      </x:c>
      <x:c r="H5" s="43" t="n">
        <x:v>3814487320.4</x:v>
      </x:c>
      <x:c r="I5" s="43" t="n">
        <x:v>163171733641.44</x:v>
      </x:c>
      <x:c r="J5" s="43" t="n">
        <x:v>40399969518.38</x:v>
      </x:c>
      <x:c r="K5" s="43" t="n">
        <x:v>35614353634.47</x:v>
      </x:c>
      <x:c r="L5" s="43" t="n">
        <x:v>27868287180.39</x:v>
      </x:c>
      <x:c r="M5" s="43" t="n">
        <x:v>148508076556.36</x:v>
      </x:c>
      <x:c r="N5" s="43" t="n">
        <x:v>0.86891853</x:v>
      </x:c>
      <x:c r="O5" s="43" t="n">
        <x:v>3.50948144</x:v>
      </x:c>
      <x:c r="P5" s="43" t="n">
        <x:v>3.98106182</x:v>
      </x:c>
      <x:c r="Q5" s="43" t="n">
        <x:v>7.78657355</x:v>
      </x:c>
      <x:c r="R5" s="43" t="n">
        <x:v>1.46118967</x:v>
      </x:c>
      <x:c r="S5" s="43" t="n">
        <x:f>IF(C5=1,N5,"")</x:f>
        <x:v>0.86891853</x:v>
      </x:c>
      <x:c r="T5" s="43" t="n">
        <x:f>IF(C5=1,O5,"")</x:f>
        <x:v>3.50948144</x:v>
      </x:c>
      <x:c r="U5" s="43" t="n">
        <x:f>IF(C5=1,P5,"")</x:f>
        <x:v>3.98106182</x:v>
      </x:c>
      <x:c r="V5" s="43" t="n">
        <x:f>IF(C5=1,Q5,"")</x:f>
        <x:v>7.78657355</x:v>
      </x:c>
      <x:c r="W5" s="43" t="n">
        <x:f>IF(C5=1,R5,"")</x:f>
        <x:v>1.46118967</x:v>
      </x:c>
    </x:row>
    <x:row r="6">
      <x:c r="A6" s="43" t="str">
        <x:v>HAIER_SMART_HOME</x:v>
      </x:c>
      <x:c r="B6" s="43" t="str">
        <x:v>CORE PEER</x:v>
      </x:c>
      <x:c r="C6" s="43" t="n">
        <x:v>1</x:v>
      </x:c>
      <x:c r="D6" s="43" t="n">
        <x:v>21.01000023</x:v>
      </x:c>
      <x:c r="E6" s="43" t="n">
        <x:v>9377629650</x:v>
      </x:c>
      <x:c r="F6" s="43" t="n">
        <x:v>47048142623.45</x:v>
      </x:c>
      <x:c r="G6" s="43" t="n">
        <x:v>58608784315.82</x:v>
      </x:c>
      <x:c r="H6" s="43" t="n">
        <x:v>9697133261.41</x:v>
      </x:c>
      <x:c r="I6" s="43" t="n">
        <x:v>297967799707.08</x:v>
      </x:c>
      <x:c r="J6" s="43" t="n">
        <x:v>32368000055.78</x:v>
      </x:c>
      <x:c r="K6" s="43" t="n">
        <x:v>23750270639.54</x:v>
      </x:c>
      <x:c r="L6" s="43" t="n">
        <x:v>17836057348.84</x:v>
      </x:c>
      <x:c r="M6" s="43" t="n">
        <x:v>119678355042.24</x:v>
      </x:c>
      <x:c r="N6" s="43" t="n">
        <x:v>0.65497175</x:v>
      </x:c>
      <x:c r="O6" s="43" t="n">
        <x:v>6.02942697</x:v>
      </x:c>
      <x:c r="P6" s="43" t="n">
        <x:v>8.21719026</x:v>
      </x:c>
      <x:c r="Q6" s="43" t="n">
        <x:v>11.04638751</x:v>
      </x:c>
      <x:c r="R6" s="43" t="n">
        <x:v>1.64627932</x:v>
      </x:c>
      <x:c r="S6" s="43" t="n">
        <x:f>IF(C6=1,N6,"")</x:f>
        <x:v>0.65497175</x:v>
      </x:c>
      <x:c r="T6" s="43" t="n">
        <x:f>IF(C6=1,O6,"")</x:f>
        <x:v>6.02942697</x:v>
      </x:c>
      <x:c r="U6" s="43" t="n">
        <x:f>IF(C6=1,P6,"")</x:f>
        <x:v>8.21719026</x:v>
      </x:c>
      <x:c r="V6" s="43" t="n">
        <x:f>IF(C6=1,Q6,"")</x:f>
        <x:v>11.04638751</x:v>
      </x:c>
      <x:c r="W6" s="43" t="n">
        <x:f>IF(C6=1,R6,"")</x:f>
        <x:v>1.64627932</x:v>
      </x:c>
    </x:row>
    <x:row r="7">
      <x:c r="A7" s="43" t="str">
        <x:v>HISENSE_HOME_APPLIANCES</x:v>
      </x:c>
      <x:c r="B7" s="43" t="str">
        <x:v>CORE PEER</x:v>
      </x:c>
      <x:c r="C7" s="43" t="n">
        <x:v>1</x:v>
      </x:c>
      <x:c r="D7" s="43" t="n">
        <x:v>29.12000084</x:v>
      </x:c>
      <x:c r="E7" s="43" t="n">
        <x:v>1384861171</x:v>
      </x:c>
      <x:c r="F7" s="43" t="n">
        <x:v>4294133164.19</x:v>
      </x:c>
      <x:c r="G7" s="43" t="n">
        <x:v>24442339898.84</x:v>
      </x:c>
      <x:c r="H7" s="43" t="n">
        <x:v>4578031776.85</x:v>
      </x:c>
      <x:c r="I7" s="43" t="n">
        <x:v>86150173758.04</x:v>
      </x:c>
      <x:c r="J7" s="43" t="n">
        <x:v>5627692254.7</x:v>
      </x:c>
      <x:c r="K7" s="43" t="n">
        <x:v>5627692254.7</x:v>
      </x:c>
      <x:c r="L7" s="43" t="n">
        <x:v>3093875718.23</x:v>
      </x:c>
      <x:c r="M7" s="43" t="n">
        <x:v>18499693247.43</x:v>
      </x:c>
      <x:c r="N7" s="43" t="n">
        <x:v>0.28737009</x:v>
      </x:c>
      <x:c r="O7" s="43" t="n">
        <x:v>4.39913598</x:v>
      </x:c>
      <x:c r="P7" s="43" t="n">
        <x:v>4.39913598</x:v>
      </x:c>
      <x:c r="Q7" s="43" t="n">
        <x:v>13.03451145</x:v>
      </x:c>
      <x:c r="R7" s="43" t="n">
        <x:v>2.17988255</x:v>
      </x:c>
      <x:c r="S7" s="43" t="n">
        <x:f>IF(C7=1,N7,"")</x:f>
        <x:v>0.28737009</x:v>
      </x:c>
      <x:c r="T7" s="43" t="n">
        <x:f>IF(C7=1,O7,"")</x:f>
        <x:v>4.39913598</x:v>
      </x:c>
      <x:c r="U7" s="43" t="n">
        <x:f>IF(C7=1,P7,"")</x:f>
        <x:v>4.39913598</x:v>
      </x:c>
      <x:c r="V7" s="43" t="n">
        <x:f>IF(C7=1,Q7,"")</x:f>
        <x:v>13.03451145</x:v>
      </x:c>
      <x:c r="W7" s="43" t="n">
        <x:f>IF(C7=1,R7,"")</x:f>
        <x:v>2.17988255</x:v>
      </x:c>
    </x:row>
    <x:row r="8">
      <x:c r="A8" s="43" t="str">
        <x:v>CARRIER_GLOBAL</x:v>
      </x:c>
      <x:c r="B8" s="43" t="str">
        <x:v>SECONDARY PEER</x:v>
      </x:c>
      <x:c r="C8" s="43" t="n">
        <x:v>1</x:v>
      </x:c>
      <x:c r="D8" s="43" t="n">
        <x:v>57.45999908</x:v>
      </x:c>
      <x:c r="E8" s="43" t="n">
        <x:v>825026056</x:v>
      </x:c>
      <x:c r="F8" s="43" t="n">
        <x:v>12394000000</x:v>
      </x:c>
      <x:c r="G8" s="43" t="n">
        <x:v>1344000000</x:v>
      </x:c>
      <x:c r="H8" s="43" t="n">
        <x:v>325000000</x:v>
      </x:c>
      <x:c r="I8" s="43" t="n">
        <x:v>22108000000</x:v>
      </x:c>
      <x:c r="J8" s="43" t="n">
        <x:v>3079000000</x:v>
      </x:c>
      <x:c r="K8" s="43" t="n">
        <x:v>1796000000</x:v>
      </x:c>
      <x:c r="L8" s="43" t="n">
        <x:v>1220000000</x:v>
      </x:c>
      <x:c r="M8" s="43" t="n">
        <x:v>13147000000</x:v>
      </x:c>
      <x:c r="N8" s="43" t="n">
        <x:v>2.65881113</x:v>
      </x:c>
      <x:c r="O8" s="43" t="n">
        <x:v>19.09093745</x:v>
      </x:c>
      <x:c r="P8" s="43" t="n">
        <x:v>32.72883988</x:v>
      </x:c>
      <x:c r="Q8" s="43" t="n">
        <x:v>38.85737412</x:v>
      </x:c>
      <x:c r="R8" s="43" t="n">
        <x:v>3.60584136</x:v>
      </x:c>
      <x:c r="S8" s="43" t="n">
        <x:f>IF(C8=1,N8,"")</x:f>
        <x:v>2.65881113</x:v>
      </x:c>
      <x:c r="T8" s="43" t="n">
        <x:f>IF(C8=1,O8,"")</x:f>
        <x:v>19.09093745</x:v>
      </x:c>
      <x:c r="U8" s="43" t="n">
        <x:f>IF(C8=1,P8,"")</x:f>
        <x:v>32.72883988</x:v>
      </x:c>
      <x:c r="V8" s="43" t="n">
        <x:f>IF(C8=1,Q8,"")</x:f>
        <x:v>38.85737412</x:v>
      </x:c>
      <x:c r="W8" s="43" t="n">
        <x:f>IF(C8=1,R8,"")</x:f>
        <x:v>3.60584136</x:v>
      </x:c>
    </x:row>
    <x:row r="9">
      <x:c r="A9" s="43" t="str">
        <x:v>DAIKIN_INDUSTRIES</x:v>
      </x:c>
      <x:c r="B9" s="43" t="str">
        <x:v>SECONDARY PEER</x:v>
      </x:c>
      <x:c r="C9" s="43" t="n">
        <x:v>1</x:v>
      </x:c>
      <x:c r="D9" s="43" t="n">
        <x:v>20780</x:v>
      </x:c>
      <x:c r="E9" s="43" t="n">
        <x:v>292841612</x:v>
      </x:c>
      <x:c r="F9" s="43" t="n">
        <x:v>1094585000000</x:v>
      </x:c>
      <x:c r="G9" s="43" t="n">
        <x:v>933484000000</x:v>
      </x:c>
      <x:c r="H9" s="43" t="n">
        <x:v>61884000000</x:v>
      </x:c>
      <x:c r="I9" s="43" t="n">
        <x:v>5015036000000</x:v>
      </x:c>
      <x:c r="J9" s="43" t="n">
        <x:v>718810000000</x:v>
      </x:c>
      <x:c r="K9" s="43" t="n">
        <x:v>442604000000</x:v>
      </x:c>
      <x:c r="L9" s="43" t="n">
        <x:v>275229000000</x:v>
      </x:c>
      <x:c r="M9" s="43" t="n">
        <x:v>3254652000000</x:v>
      </x:c>
      <x:c r="N9" s="43" t="n">
        <x:v>1.25786409</x:v>
      </x:c>
      <x:c r="O9" s="43" t="n">
        <x:v>8.77594037</x:v>
      </x:c>
      <x:c r="P9" s="43" t="n">
        <x:v>14.25254561</x:v>
      </x:c>
      <x:c r="Q9" s="43" t="n">
        <x:v>22.10976568</x:v>
      </x:c>
      <x:c r="R9" s="43" t="n">
        <x:v>1.86970794</x:v>
      </x:c>
      <x:c r="S9" s="43" t="n">
        <x:f>IF(C9=1,N9,"")</x:f>
        <x:v>1.25786409</x:v>
      </x:c>
      <x:c r="T9" s="43" t="n">
        <x:f>IF(C9=1,O9,"")</x:f>
        <x:v>8.77594037</x:v>
      </x:c>
      <x:c r="U9" s="43" t="n">
        <x:f>IF(C9=1,P9,"")</x:f>
        <x:v>14.25254561</x:v>
      </x:c>
      <x:c r="V9" s="43" t="n">
        <x:f>IF(C9=1,Q9,"")</x:f>
        <x:v>22.10976568</x:v>
      </x:c>
      <x:c r="W9" s="43" t="n">
        <x:f>IF(C9=1,R9,"")</x:f>
        <x:v>1.86970794</x:v>
      </x:c>
    </x:row>
    <x:row r="10">
      <x:c r="A10" s="43" t="str">
        <x:v>PANASONIC_HOLDINGS</x:v>
      </x:c>
      <x:c r="B10" s="43" t="str">
        <x:v>SECONDARY PEER</x:v>
      </x:c>
      <x:c r="C10" s="43" t="n">
        <x:v>1</x:v>
      </x:c>
      <x:c r="D10" s="43" t="n">
        <x:v>4200</x:v>
      </x:c>
      <x:c r="E10" s="43" t="n">
        <x:v>2334702707</x:v>
      </x:c>
      <x:c r="F10" s="43" t="n">
        <x:v>1603197000000</x:v>
      </x:c>
      <x:c r="G10" s="43" t="n">
        <x:v>967278000000</x:v>
      </x:c>
      <x:c r="H10" s="43" t="n">
        <x:v>170683000000</x:v>
      </x:c>
      <x:c r="I10" s="43" t="n">
        <x:v>8048722000000</x:v>
      </x:c>
      <x:c r="J10" s="43" t="n">
        <x:v>305107000000</x:v>
      </x:c>
      <x:c r="K10" s="43" t="n">
        <x:v>305107000000</x:v>
      </x:c>
      <x:c r="L10" s="43" t="n">
        <x:v>189540000000</x:v>
      </x:c>
      <x:c r="M10" s="43" t="n">
        <x:v>5211272000000</x:v>
      </x:c>
      <x:c r="N10" s="43" t="n">
        <x:v>1.31851409</x:v>
      </x:c>
      <x:c r="O10" s="43" t="n">
        <x:v>34.78239886</x:v>
      </x:c>
      <x:c r="P10" s="43" t="n">
        <x:v>34.78239886</x:v>
      </x:c>
      <x:c r="Q10" s="43" t="n">
        <x:v>51.73446961</x:v>
      </x:c>
      <x:c r="R10" s="43" t="n">
        <x:v>1.8816426</x:v>
      </x:c>
      <x:c r="S10" s="43" t="n">
        <x:f>IF(C10=1,N10,"")</x:f>
        <x:v>1.31851409</x:v>
      </x:c>
      <x:c r="T10" s="43" t="n">
        <x:f>IF(C10=1,O10,"")</x:f>
        <x:v>34.78239886</x:v>
      </x:c>
      <x:c r="U10" s="43" t="n">
        <x:f>IF(C10=1,P10,"")</x:f>
        <x:v>34.78239886</x:v>
      </x:c>
      <x:c r="V10" s="43" t="n">
        <x:f>IF(C10=1,Q10,"")</x:f>
        <x:v>51.73446961</x:v>
      </x:c>
      <x:c r="W10" s="43" t="n">
        <x:f>IF(C10=1,R10,"")</x:f>
        <x:v>1.8816426</x:v>
      </x:c>
    </x:row>
    <x:row r="11">
      <x:c r="A11" s="43" t="str">
        <x:v>SCHNEIDER_ELECTRIC</x:v>
      </x:c>
      <x:c r="B11" s="43" t="str">
        <x:v>REFERENCE ONLY</x:v>
      </x:c>
      <x:c r="C11" s="43" t="n">
        <x:v>0</x:v>
      </x:c>
      <x:c r="D11" s="43" t="n">
        <x:v>291.1000061</x:v>
      </x:c>
      <x:c r="E11" s="43" t="n">
        <x:v>562327586</x:v>
      </x:c>
      <x:c r="F11" s="43" t="n">
        <x:v>19390000000</x:v>
      </x:c>
      <x:c r="G11" s="43" t="n">
        <x:v>4518000000</x:v>
      </x:c>
      <x:c r="H11" s="43" t="n">
        <x:v>273000000</x:v>
      </x:c>
      <x:c r="I11" s="43" t="n">
        <x:v>42042000000</x:v>
      </x:c>
      <x:c r="J11" s="43" t="n">
        <x:v>8788000000</x:v>
      </x:c>
      <x:c r="K11" s="43" t="n">
        <x:v>7098000000</x:v>
      </x:c>
      <x:c r="L11" s="43" t="n">
        <x:v>4738000000</x:v>
      </x:c>
      <x:c r="M11" s="43" t="n">
        <x:v>24463000000</x:v>
      </x:c>
      <x:c r="N11" s="43" t="n">
        <x:v>4.25380723</x:v>
      </x:c>
      <x:c r="O11" s="43" t="n">
        <x:v>20.35031449</x:v>
      </x:c>
      <x:c r="P11" s="43" t="n">
        <x:v>25.19562746</x:v>
      </x:c>
      <x:c r="Q11" s="43" t="n">
        <x:v>34.54908479</x:v>
      </x:c>
      <x:c r="R11" s="43" t="n">
        <x:v>6.69147544</x:v>
      </x:c>
      <x:c r="S11" s="43" t="str">
        <x:f>IF(C11=1,N11,"")</x:f>
      </x:c>
      <x:c r="T11" s="43" t="str">
        <x:f>IF(C11=1,O11,"")</x:f>
      </x:c>
      <x:c r="U11" s="43" t="str">
        <x:f>IF(C11=1,P11,"")</x:f>
      </x:c>
      <x:c r="V11" s="43" t="str">
        <x:f>IF(C11=1,Q11,"")</x:f>
      </x:c>
      <x:c r="W11" s="43" t="str">
        <x:f>IF(C11=1,R11,"")</x:f>
      </x:c>
    </x:row>
    <x:row r="12">
      <x:c r="A12" s="43" t="str">
        <x:v>SIEMENS</x:v>
      </x:c>
      <x:c r="B12" s="43" t="str">
        <x:v>REFERENCE ONLY</x:v>
      </x:c>
      <x:c r="C12" s="43" t="n">
        <x:v>0</x:v>
      </x:c>
      <x:c r="D12" s="43" t="n">
        <x:v>264.6499939</x:v>
      </x:c>
      <x:c r="E12" s="43" t="n">
        <x:v>780264198</x:v>
      </x:c>
      <x:c r="F12" s="43" t="n">
        <x:v>49924000000</x:v>
      </x:c>
      <x:c r="G12" s="43" t="n">
        <x:v>22813000000</x:v>
      </x:c>
      <x:c r="H12" s="43" t="n">
        <x:v>6898000000</x:v>
      </x:c>
      <x:c r="I12" s="43" t="n">
        <x:v>81114000000</x:v>
      </x:c>
      <x:c r="J12" s="43" t="n">
        <x:v>16775000000</x:v>
      </x:c>
      <x:c r="K12" s="43" t="n">
        <x:v>13274000000</x:v>
      </x:c>
      <x:c r="L12" s="43" t="n">
        <x:v>7946000000</x:v>
      </x:c>
      <x:c r="M12" s="43" t="n">
        <x:v>68260000000</x:v>
      </x:c>
      <x:c r="N12" s="43" t="n">
        <x:v>2.96503582</x:v>
      </x:c>
      <x:c r="O12" s="43" t="n">
        <x:v>14.33716335</x:v>
      </x:c>
      <x:c r="P12" s="43" t="n">
        <x:v>18.11857129</x:v>
      </x:c>
      <x:c r="Q12" s="43" t="n">
        <x:v>25.98753023</x:v>
      </x:c>
      <x:c r="R12" s="43" t="n">
        <x:v>3.02515258</x:v>
      </x:c>
      <x:c r="S12" s="43" t="str">
        <x:f>IF(C12=1,N12,"")</x:f>
      </x:c>
      <x:c r="T12" s="43" t="str">
        <x:f>IF(C12=1,O12,"")</x:f>
      </x:c>
      <x:c r="U12" s="43" t="str">
        <x:f>IF(C12=1,P12,"")</x:f>
      </x:c>
      <x:c r="V12" s="43" t="str">
        <x:f>IF(C12=1,Q12,"")</x:f>
      </x:c>
      <x:c r="W12" s="43" t="str">
        <x:f>IF(C12=1,R12,"")</x:f>
      </x:c>
    </x:row>
    <x:row r="13">
      <x:c r="A13" s="43" t="str">
        <x:v>ABB</x:v>
      </x:c>
      <x:c r="B13" s="43" t="str">
        <x:v>REFERENCE ONLY</x:v>
      </x:c>
      <x:c r="C13" s="43" t="n">
        <x:v>0</x:v>
      </x:c>
      <x:c r="D13" s="43" t="n">
        <x:v>78.66000366</x:v>
      </x:c>
      <x:c r="E13" s="43" t="n">
        <x:v>1815147741</x:v>
      </x:c>
      <x:c r="F13" s="43" t="n">
        <x:v>8982000000</x:v>
      </x:c>
      <x:c r="G13" s="43" t="n">
        <x:v>5857000000</x:v>
      </x:c>
      <x:c r="H13" s="43" t="n">
        <x:v>506000000</x:v>
      </x:c>
      <x:c r="I13" s="43" t="n">
        <x:v>35752000000</x:v>
      </x:c>
      <x:c r="J13" s="43" t="n">
        <x:v>7585000000</x:v>
      </x:c>
      <x:c r="K13" s="43" t="n">
        <x:v>6730000000</x:v>
      </x:c>
      <x:c r="L13" s="43" t="n">
        <x:v>5036000000</x:v>
      </x:c>
      <x:c r="M13" s="43" t="n">
        <x:v>15899000000</x:v>
      </x:c>
      <x:c r="N13" s="43" t="n">
        <x:v>4.09517028</x:v>
      </x:c>
      <x:c r="O13" s="43" t="n">
        <x:v>19.30264047</x:v>
      </x:c>
      <x:c r="P13" s="43" t="n">
        <x:v>21.75490757</x:v>
      </x:c>
      <x:c r="Q13" s="43" t="n">
        <x:v>28.35177283</x:v>
      </x:c>
      <x:c r="R13" s="43" t="n">
        <x:v>8.98040933</x:v>
      </x:c>
      <x:c r="S13" s="43" t="str">
        <x:f>IF(C13=1,N13,"")</x:f>
      </x:c>
      <x:c r="T13" s="43" t="str">
        <x:f>IF(C13=1,O13,"")</x:f>
      </x:c>
      <x:c r="U13" s="43" t="str">
        <x:f>IF(C13=1,P13,"")</x:f>
      </x:c>
      <x:c r="V13" s="43" t="str">
        <x:f>IF(C13=1,Q13,"")</x:f>
      </x:c>
      <x:c r="W13" s="43" t="str">
        <x:f>IF(C13=1,R13,"")</x:f>
      </x:c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</x:row>
    <x:row r="15">
      <x:c r="A15" s="51" t="str">
        <x:v>Selected eligible-peer median</x:v>
      </x:c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 t="n">
        <x:f>MEDIAN(S5:S13)</x:f>
        <x:v>1.06339131</x:v>
      </x:c>
      <x:c r="O15" s="51" t="n">
        <x:f>MEDIAN(T5:T13)</x:f>
        <x:v>7.40268367</x:v>
      </x:c>
      <x:c r="P15" s="51" t="n">
        <x:f>MEDIAN(U5:U13)</x:f>
        <x:v>11.234867935</x:v>
      </x:c>
      <x:c r="Q15" s="51" t="n">
        <x:f>MEDIAN(V5:V13)</x:f>
        <x:v>17.572138565</x:v>
      </x:c>
      <x:c r="R15" s="51" t="n">
        <x:f>MEDIAN(W5:W13)</x:f>
        <x:v>1.87567527</x:v>
      </x:c>
      <x:c r="S15" s="43"/>
      <x:c r="T15" s="43"/>
      <x:c r="U15" s="43"/>
      <x:c r="V15" s="43"/>
      <x:c r="W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</x:row>
  </x:sheetData>
  <x:mergeCells>
    <x:mergeCell ref="A1:H1"/>
    <x:mergeCell ref="A2:H2"/>
    <x:mergeCell ref="A15:M15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.75" hidden="0" customWidth="1"/>
    <x:col min="2" max="2" width="13.880000114440918" hidden="0" customWidth="1"/>
    <x:col min="3" max="3" width="22.75" hidden="0" customWidth="1"/>
    <x:col min="4" max="4" width="17.75" hidden="0" customWidth="1"/>
    <x:col min="5" max="5" width="14.630000114440918" hidden="0" customWidth="1"/>
    <x:col min="6" max="6" width="26.1299991607666" hidden="0" customWidth="1"/>
  </x:cols>
  <x:sheetData>
    <x:row r="1">
      <x:c r="A1" s="37" t="str">
        <x:v>Period-Aligned Comparable Valuation</x:v>
      </x:c>
      <x:c r="B1" s="37"/>
      <x:c r="C1" s="37"/>
      <x:c r="D1" s="37"/>
      <x:c r="E1" s="37"/>
      <x:c r="F1" s="37"/>
      <x:c r="G1" s="37"/>
      <x:c r="H1" s="37"/>
    </x:row>
    <x:row r="2">
      <x:c r="A2" s="38" t="str">
        <x:v>Peer TTM to Midea LTM through 2026Q1; P/B uses 2026Q1 parent equity</x:v>
      </x:c>
      <x:c r="B2" s="38"/>
      <x:c r="C2" s="38"/>
      <x:c r="D2" s="38"/>
      <x:c r="E2" s="38"/>
      <x:c r="F2" s="38"/>
      <x:c r="G2" s="38"/>
      <x:c r="H2" s="38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2" t="str">
        <x:v>Input</x:v>
      </x:c>
      <x:c r="B4" s="42" t="str">
        <x:v>Value</x:v>
      </x:c>
      <x:c r="C4" s="42" t="str">
        <x:v>Basis</x:v>
      </x:c>
      <x:c r="D4" s="42" t="str">
        <x:v>Authority</x:v>
      </x:c>
      <x:c r="E4" s="43"/>
      <x:c r="F4" s="43"/>
      <x:c r="G4" s="39"/>
      <x:c r="H4" s="39"/>
    </x:row>
    <x:row r="5">
      <x:c r="A5" s="43" t="str">
        <x:v>Midea Revenue</x:v>
      </x:c>
      <x:c r="B5" s="67" t="n">
        <x:v>459711.794</x:v>
      </x:c>
      <x:c r="C5" s="43" t="str">
        <x:v>LTM_2026_03_31</x:v>
      </x:c>
      <x:c r="D5" s="43" t="str">
        <x:v>H2+H3B</x:v>
      </x:c>
      <x:c r="E5" s="43"/>
      <x:c r="F5" s="43"/>
      <x:c r="G5" s="39"/>
      <x:c r="H5" s="39"/>
    </x:row>
    <x:row r="6">
      <x:c r="A6" s="43" t="str">
        <x:v>Midea EBIT</x:v>
      </x:c>
      <x:c r="B6" s="67" t="n">
        <x:v>52911.069</x:v>
      </x:c>
      <x:c r="C6" s="43" t="str">
        <x:v>LTM_2026_03_31</x:v>
      </x:c>
      <x:c r="D6" s="43" t="str">
        <x:v>H2+H3B</x:v>
      </x:c>
      <x:c r="E6" s="43"/>
      <x:c r="F6" s="43"/>
      <x:c r="G6" s="39"/>
      <x:c r="H6" s="39"/>
    </x:row>
    <x:row r="7">
      <x:c r="A7" s="43" t="str">
        <x:v>Midea EBITDA</x:v>
      </x:c>
      <x:c r="B7" s="67" t="str">
        <x:v>EXCLUDED</x:v>
      </x:c>
      <x:c r="C7" s="43" t="str">
        <x:v>UNAVAILABLE</x:v>
      </x:c>
      <x:c r="D7" s="43" t="str">
        <x:v>NO_COMPATIBLE_D&amp;A</x:v>
      </x:c>
      <x:c r="E7" s="43"/>
      <x:c r="F7" s="43"/>
      <x:c r="G7" s="39"/>
      <x:c r="H7" s="39"/>
    </x:row>
    <x:row r="8">
      <x:c r="A8" s="43" t="str">
        <x:v>Midea Attributable NI</x:v>
      </x:c>
      <x:c r="B8" s="67" t="n">
        <x:v>44197.734</x:v>
      </x:c>
      <x:c r="C8" s="43" t="str">
        <x:v>LTM_2026_03_31</x:v>
      </x:c>
      <x:c r="D8" s="43" t="str">
        <x:v>H2+H3B</x:v>
      </x:c>
      <x:c r="E8" s="43"/>
      <x:c r="F8" s="43"/>
      <x:c r="G8" s="39"/>
      <x:c r="H8" s="39"/>
    </x:row>
    <x:row r="9">
      <x:c r="A9" s="43" t="str">
        <x:v>Midea Parent Equity</x:v>
      </x:c>
      <x:c r="B9" s="67" t="n">
        <x:v>232307.706</x:v>
      </x:c>
      <x:c r="C9" s="43" t="str">
        <x:v>POINT_IN_TIME_2026_03_31</x:v>
      </x:c>
      <x:c r="D9" s="43" t="str">
        <x:v>H2</x:v>
      </x:c>
      <x:c r="E9" s="43"/>
      <x:c r="F9" s="43"/>
      <x:c r="G9" s="39"/>
      <x:c r="H9" s="39"/>
    </x:row>
    <x:row r="10">
      <x:c r="A10" s="43" t="str">
        <x:v>Shares million</x:v>
      </x:c>
      <x:c r="B10" s="67" t="n">
        <x:v>7402.51366</x:v>
      </x:c>
      <x:c r="C10" s="43" t="str">
        <x:v>ACCOUNTING_POPULATION</x:v>
      </x:c>
      <x:c r="D10" s="43" t="str">
        <x:v>G25</x:v>
      </x:c>
      <x:c r="E10" s="43"/>
      <x:c r="F10" s="43"/>
      <x:c r="G10" s="39"/>
      <x:c r="H10" s="39"/>
    </x:row>
    <x:row r="11">
      <x:c r="A11" s="43" t="str">
        <x:v>EV-to-equity adjustment</x:v>
      </x:c>
      <x:c r="B11" s="67" t="n">
        <x:v>125842.95153566997</x:v>
      </x:c>
      <x:c r="C11" s="43" t="str">
        <x:v>2025A_PLUS_CB</x:v>
      </x:c>
      <x:c r="D11" s="43" t="str">
        <x:v>H5</x:v>
      </x:c>
      <x:c r="E11" s="43"/>
      <x:c r="F11" s="43"/>
      <x:c r="G11" s="39"/>
      <x:c r="H11" s="39"/>
    </x:row>
    <x:row r="12">
      <x:c r="A12" s="43"/>
      <x:c r="B12" s="43"/>
      <x:c r="C12" s="43"/>
      <x:c r="D12" s="43"/>
      <x:c r="E12" s="43"/>
      <x:c r="F12" s="43"/>
      <x:c r="G12" s="39"/>
      <x:c r="H12" s="39"/>
    </x:row>
    <x:row r="13">
      <x:c r="A13" s="42" t="str">
        <x:v>Method</x:v>
      </x:c>
      <x:c r="B13" s="42" t="str">
        <x:v>Selected Multiple</x:v>
      </x:c>
      <x:c r="C13" s="42" t="str">
        <x:v>Midea Denominator</x:v>
      </x:c>
      <x:c r="D13" s="42" t="str">
        <x:v>Equity Bridge</x:v>
      </x:c>
      <x:c r="E13" s="42" t="str">
        <x:v>Implied CNY/share</x:v>
      </x:c>
      <x:c r="F13" s="42" t="str">
        <x:v>Status</x:v>
      </x:c>
      <x:c r="G13" s="39"/>
      <x:c r="H13" s="39"/>
    </x:row>
    <x:row r="14">
      <x:c r="A14" s="43" t="str">
        <x:v>EV/Revenue</x:v>
      </x:c>
      <x:c r="B14" s="67" t="n">
        <x:f>'19 Comparable Cos'!N15</x:f>
        <x:v>1.06339131</x:v>
      </x:c>
      <x:c r="C14" s="67" t="n">
        <x:f>B5</x:f>
        <x:v>459711.794</x:v>
      </x:c>
      <x:c r="D14" s="67" t="n">
        <x:f>B11</x:f>
        <x:v>125842.95153566997</x:v>
      </x:c>
      <x:c r="E14" s="67" t="n">
        <x:f>(B14*C14+D14)/$B$10</x:f>
        <x:v>83.03888471038367</x:v>
      </x:c>
      <x:c r="F14" s="43" t="str">
        <x:v>PASS</x:v>
      </x:c>
      <x:c r="G14" s="39"/>
      <x:c r="H14" s="39"/>
    </x:row>
    <x:row r="15">
      <x:c r="A15" s="43" t="str">
        <x:v>EV/EBITDA</x:v>
      </x:c>
      <x:c r="B15" s="67" t="n">
        <x:f>'19 Comparable Cos'!O15</x:f>
        <x:v>7.40268367</x:v>
      </x:c>
      <x:c r="C15" s="67" t="str">
        <x:v>EXCLUDED</x:v>
      </x:c>
      <x:c r="D15" s="67"/>
      <x:c r="E15" s="67" t="str">
        <x:v>EXCLUDED</x:v>
      </x:c>
      <x:c r="F15" s="43" t="str">
        <x:v>EXCLUDED_NO_MIDEA_LTM_D&amp;A</x:v>
      </x:c>
      <x:c r="G15" s="39"/>
      <x:c r="H15" s="39"/>
    </x:row>
    <x:row r="16">
      <x:c r="A16" s="43" t="str">
        <x:v>EV/EBIT</x:v>
      </x:c>
      <x:c r="B16" s="67" t="n">
        <x:f>'19 Comparable Cos'!P15</x:f>
        <x:v>11.234867935</x:v>
      </x:c>
      <x:c r="C16" s="67" t="n">
        <x:f>B6</x:f>
        <x:v>52911.069</x:v>
      </x:c>
      <x:c r="D16" s="67" t="n">
        <x:f>B11</x:f>
        <x:v>125842.95153566997</x:v>
      </x:c>
      <x:c r="E16" s="67" t="n">
        <x:f>(B16*C16+D16)/$B$10</x:f>
        <x:v>97.30368049740858</x:v>
      </x:c>
      <x:c r="F16" s="43" t="str">
        <x:v>PASS</x:v>
      </x:c>
      <x:c r="G16" s="39"/>
      <x:c r="H16" s="39"/>
    </x:row>
    <x:row r="17">
      <x:c r="A17" s="43" t="str">
        <x:v>P/E</x:v>
      </x:c>
      <x:c r="B17" s="67" t="n">
        <x:f>'19 Comparable Cos'!Q15</x:f>
        <x:v>17.572138565</x:v>
      </x:c>
      <x:c r="C17" s="67" t="n">
        <x:f>B8</x:f>
        <x:v>44197.734</x:v>
      </x:c>
      <x:c r="D17" s="67" t="n">
        <x:v>0</x:v>
      </x:c>
      <x:c r="E17" s="67" t="n">
        <x:f>B17*C17/$B$10</x:f>
        <x:v>104.91688928636326</x:v>
      </x:c>
      <x:c r="F17" s="43" t="str">
        <x:v>PASS</x:v>
      </x:c>
      <x:c r="G17" s="39"/>
      <x:c r="H17" s="39"/>
    </x:row>
    <x:row r="18">
      <x:c r="A18" s="43" t="str">
        <x:v>P/B</x:v>
      </x:c>
      <x:c r="B18" s="67" t="n">
        <x:f>'19 Comparable Cos'!R15</x:f>
        <x:v>1.87567527</x:v>
      </x:c>
      <x:c r="C18" s="67" t="n">
        <x:f>B9</x:f>
        <x:v>232307.706</x:v>
      </x:c>
      <x:c r="D18" s="67" t="n">
        <x:v>0</x:v>
      </x:c>
      <x:c r="E18" s="67" t="n">
        <x:f>B18*C18/$B$10</x:f>
        <x:v>58.86295374625903</x:v>
      </x:c>
      <x:c r="F18" s="43" t="str">
        <x:v>PASS</x:v>
      </x:c>
      <x:c r="G18" s="39"/>
      <x:c r="H18" s="39"/>
    </x:row>
    <x:row r="19">
      <x:c r="A19" s="43"/>
      <x:c r="B19" s="67"/>
      <x:c r="C19" s="67"/>
      <x:c r="D19" s="67"/>
      <x:c r="E19" s="67"/>
      <x:c r="F19" s="43"/>
      <x:c r="G19" s="39"/>
      <x:c r="H19" s="39"/>
    </x:row>
    <x:row r="20">
      <x:c r="A20" s="51" t="str">
        <x:v>Comps Low</x:v>
      </x:c>
      <x:c r="B20" s="72" t="n">
        <x:f>QUARTILE.INC(E14:E18,1)</x:f>
        <x:v>76.99490196935251</x:v>
      </x:c>
      <x:c r="C20" s="67"/>
      <x:c r="D20" s="67"/>
      <x:c r="E20" s="67"/>
      <x:c r="F20" s="43"/>
      <x:c r="G20" s="39"/>
      <x:c r="H20" s="39"/>
    </x:row>
    <x:row r="21">
      <x:c r="A21" s="51" t="str">
        <x:v>Comps Central</x:v>
      </x:c>
      <x:c r="B21" s="72" t="n">
        <x:f>MEDIAN(E14:E18)</x:f>
        <x:v>90.17128260389612</x:v>
      </x:c>
      <x:c r="C21" s="67"/>
      <x:c r="D21" s="67"/>
      <x:c r="E21" s="67"/>
      <x:c r="F21" s="43"/>
      <x:c r="G21" s="39"/>
      <x:c r="H21" s="39"/>
    </x:row>
    <x:row r="22">
      <x:c r="A22" s="51" t="str">
        <x:v>Comps High</x:v>
      </x:c>
      <x:c r="B22" s="72" t="n">
        <x:f>QUARTILE.INC(E14:E18,3)</x:f>
        <x:v>99.20698269464727</x:v>
      </x:c>
      <x:c r="C22" s="67"/>
      <x:c r="D22" s="67"/>
      <x:c r="E22" s="67"/>
      <x:c r="F22" s="43"/>
      <x:c r="G22" s="39"/>
      <x:c r="H22" s="39"/>
    </x:row>
  </x:sheetData>
  <x:mergeCells>
    <x:mergeCell ref="A1:H1"/>
    <x:mergeCell ref="A2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.25" hidden="0" customWidth="1"/>
    <x:col min="2" max="2" width="37.630001068115234" hidden="0" customWidth="1"/>
  </x:cols>
  <x:sheetData>
    <x:row r="1">
      <x:c r="A1" s="37" t="str">
        <x:v>Valuation Synthesis Governance | Formula-linked</x:v>
      </x:c>
      <x:c r="B1" s="37"/>
      <x:c r="C1" s="37"/>
      <x:c r="D1" s="37"/>
      <x:c r="E1" s="37"/>
      <x:c r="F1" s="37"/>
      <x:c r="G1" s="37"/>
      <x:c r="H1" s="37"/>
    </x:row>
    <x:row r="2">
      <x:c r="A2" s="39"/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2" t="str">
        <x:v>Metric</x:v>
      </x:c>
      <x:c r="B4" s="42" t="str">
        <x:v>Value</x:v>
      </x:c>
      <x:c r="C4" s="39"/>
      <x:c r="D4" s="39"/>
      <x:c r="E4" s="39"/>
      <x:c r="F4" s="39"/>
      <x:c r="G4" s="39"/>
      <x:c r="H4" s="39"/>
    </x:row>
    <x:row r="5">
      <x:c r="A5" s="43" t="str">
        <x:v>Market price</x:v>
      </x:c>
      <x:c r="B5" s="67" t="n">
        <x:v>86.26</x:v>
      </x:c>
      <x:c r="C5" s="39"/>
      <x:c r="D5" s="39"/>
      <x:c r="E5" s="39"/>
      <x:c r="F5" s="39"/>
      <x:c r="G5" s="39"/>
      <x:c r="H5" s="39"/>
    </x:row>
    <x:row r="6">
      <x:c r="A6" s="43" t="str">
        <x:v>DCF bear</x:v>
      </x:c>
      <x:c r="B6" s="67" t="n">
        <x:f>'15 DCF Valuation'!D11</x:f>
        <x:v>117.4384902158696</x:v>
      </x:c>
      <x:c r="C6" s="39"/>
      <x:c r="D6" s="39"/>
      <x:c r="E6" s="39"/>
      <x:c r="F6" s="39"/>
      <x:c r="G6" s="39"/>
      <x:c r="H6" s="39"/>
    </x:row>
    <x:row r="7">
      <x:c r="A7" s="43" t="str">
        <x:v>DCF base</x:v>
      </x:c>
      <x:c r="B7" s="67" t="n">
        <x:f>'15 DCF Valuation'!D12</x:f>
        <x:v>294.51061721851204</x:v>
      </x:c>
      <x:c r="C7" s="39"/>
      <x:c r="D7" s="39"/>
      <x:c r="E7" s="39"/>
      <x:c r="F7" s="39"/>
      <x:c r="G7" s="39"/>
      <x:c r="H7" s="39"/>
    </x:row>
    <x:row r="8">
      <x:c r="A8" s="43" t="str">
        <x:v>DCF bull</x:v>
      </x:c>
      <x:c r="B8" s="67" t="n">
        <x:f>'15 DCF Valuation'!D13</x:f>
        <x:v>548.936871122868</x:v>
      </x:c>
      <x:c r="C8" s="39"/>
      <x:c r="D8" s="39"/>
      <x:c r="E8" s="39"/>
      <x:c r="F8" s="39"/>
      <x:c r="G8" s="39"/>
      <x:c r="H8" s="39"/>
    </x:row>
    <x:row r="9">
      <x:c r="A9" s="43" t="str">
        <x:v>Comps low</x:v>
      </x:c>
      <x:c r="B9" s="67" t="n">
        <x:f>'20 Comps Valuation'!B20</x:f>
        <x:v>76.99490196935251</x:v>
      </x:c>
      <x:c r="C9" s="39"/>
      <x:c r="D9" s="39"/>
      <x:c r="E9" s="39"/>
      <x:c r="F9" s="39"/>
      <x:c r="G9" s="39"/>
      <x:c r="H9" s="39"/>
    </x:row>
    <x:row r="10">
      <x:c r="A10" s="43" t="str">
        <x:v>Comps central</x:v>
      </x:c>
      <x:c r="B10" s="67" t="n">
        <x:f>'20 Comps Valuation'!B21</x:f>
        <x:v>90.17128260389612</x:v>
      </x:c>
      <x:c r="C10" s="39"/>
      <x:c r="D10" s="39"/>
      <x:c r="E10" s="39"/>
      <x:c r="F10" s="39"/>
      <x:c r="G10" s="39"/>
      <x:c r="H10" s="39"/>
    </x:row>
    <x:row r="11">
      <x:c r="A11" s="43" t="str">
        <x:v>Comps high</x:v>
      </x:c>
      <x:c r="B11" s="67" t="n">
        <x:f>'20 Comps Valuation'!B22</x:f>
        <x:v>99.20698269464727</x:v>
      </x:c>
      <x:c r="C11" s="39"/>
      <x:c r="D11" s="39"/>
      <x:c r="E11" s="39"/>
      <x:c r="F11" s="39"/>
      <x:c r="G11" s="39"/>
      <x:c r="H11" s="39"/>
    </x:row>
    <x:row r="12">
      <x:c r="A12" s="43" t="str">
        <x:v>Base upside</x:v>
      </x:c>
      <x:c r="B12" s="74" t="n">
        <x:f>B7/B5-1</x:f>
        <x:v>2.4142200002146073</x:v>
      </x:c>
      <x:c r="C12" s="39"/>
      <x:c r="D12" s="39"/>
      <x:c r="E12" s="39"/>
      <x:c r="F12" s="39"/>
      <x:c r="G12" s="39"/>
      <x:c r="H12" s="39"/>
    </x:row>
    <x:row r="13">
      <x:c r="A13" s="43" t="str">
        <x:v>Governed conclusion</x:v>
      </x:c>
      <x:c r="B13" s="43" t="str">
        <x:v>DCF_INDICATES_UPSIDE_BUT_LOW_CONFIDENCE</x:v>
      </x:c>
      <x:c r="C13" s="39"/>
      <x:c r="D13" s="39"/>
      <x:c r="E13" s="39"/>
      <x:c r="F13" s="39"/>
      <x:c r="G13" s="39"/>
      <x:c r="H13" s="39"/>
    </x:row>
  </x:sheetData>
  <x:mergeCells>
    <x:mergeCell ref="A1:H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.8799991607666" hidden="0" customWidth="1"/>
    <x:col min="2" max="2" width="7.5" hidden="0" customWidth="1"/>
    <x:col min="3" max="3" width="5.25" hidden="0" customWidth="1"/>
  </x:cols>
  <x:sheetData>
    <x:row r="1">
      <x:c r="A1" s="37" t="str">
        <x:v>Final R3 Controls</x:v>
      </x:c>
      <x:c r="B1" s="37"/>
      <x:c r="C1" s="37"/>
      <x:c r="D1" s="37"/>
      <x:c r="E1" s="37"/>
      <x:c r="F1" s="37"/>
      <x:c r="G1" s="37"/>
      <x:c r="H1" s="37"/>
    </x:row>
    <x:row r="2">
      <x:c r="A2" s="39"/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>
      <x:c r="A4" s="42" t="str">
        <x:v>Control</x:v>
      </x:c>
      <x:c r="B4" s="42" t="str">
        <x:v>Expected</x:v>
      </x:c>
      <x:c r="C4" s="42" t="str">
        <x:v>Result</x:v>
      </x:c>
      <x:c r="D4" s="39"/>
      <x:c r="E4" s="39"/>
      <x:c r="F4" s="39"/>
      <x:c r="G4" s="39"/>
      <x:c r="H4" s="39"/>
    </x:row>
    <x:row r="5">
      <x:c r="A5" s="43" t="str">
        <x:v>Formula errors</x:v>
      </x:c>
      <x:c r="B5" s="43" t="n">
        <x:v>0</x:v>
      </x:c>
      <x:c r="C5" s="43" t="n">
        <x:v>0</x:v>
      </x:c>
      <x:c r="D5" s="39"/>
      <x:c r="E5" s="39"/>
      <x:c r="F5" s="39"/>
      <x:c r="G5" s="39"/>
      <x:c r="H5" s="39"/>
    </x:row>
    <x:row r="6">
      <x:c r="A6" s="43" t="str">
        <x:v>Hardcoded material comps outputs</x:v>
      </x:c>
      <x:c r="B6" s="43" t="n">
        <x:v>0</x:v>
      </x:c>
      <x:c r="C6" s="43" t="n">
        <x:v>0</x:v>
      </x:c>
      <x:c r="D6" s="39"/>
      <x:c r="E6" s="39"/>
      <x:c r="F6" s="39"/>
      <x:c r="G6" s="39"/>
      <x:c r="H6" s="39"/>
    </x:row>
    <x:row r="7">
      <x:c r="A7" s="43" t="str">
        <x:v>Peer/Midea period mismatches</x:v>
      </x:c>
      <x:c r="B7" s="43" t="n">
        <x:v>0</x:v>
      </x:c>
      <x:c r="C7" s="43" t="n">
        <x:v>0</x:v>
      </x:c>
      <x:c r="D7" s="39"/>
      <x:c r="E7" s="39"/>
      <x:c r="F7" s="39"/>
      <x:c r="G7" s="39"/>
      <x:c r="H7" s="39"/>
    </x:row>
    <x:row r="8">
      <x:c r="A8" s="43" t="str">
        <x:v>External path dependencies</x:v>
      </x:c>
      <x:c r="B8" s="43" t="n">
        <x:v>0</x:v>
      </x:c>
      <x:c r="C8" s="43" t="n">
        <x:v>0</x:v>
      </x:c>
      <x:c r="D8" s="39"/>
      <x:c r="E8" s="39"/>
      <x:c r="F8" s="39"/>
      <x:c r="G8" s="39"/>
      <x:c r="H8" s="39"/>
    </x:row>
    <x:row r="9">
      <x:c r="A9" s="43" t="str">
        <x:v>Post-cutoff operating leakage</x:v>
      </x:c>
      <x:c r="B9" s="43" t="n">
        <x:v>0</x:v>
      </x:c>
      <x:c r="C9" s="43" t="n">
        <x:v>0</x:v>
      </x:c>
      <x:c r="D9" s="39"/>
      <x:c r="E9" s="39"/>
      <x:c r="F9" s="39"/>
      <x:c r="G9" s="39"/>
      <x:c r="H9" s="39"/>
    </x:row>
    <x:row r="10">
      <x:c r="A10" s="43" t="str">
        <x:v>Status</x:v>
      </x:c>
      <x:c r="B10" s="43" t="str">
        <x:v>PASS</x:v>
      </x:c>
      <x:c r="C10" s="43" t="str">
        <x:v>PASS</x:v>
      </x:c>
      <x:c r="D10" s="39"/>
      <x:c r="E10" s="39"/>
      <x:c r="F10" s="39"/>
      <x:c r="G10" s="39"/>
      <x:c r="H10" s="39"/>
    </x:row>
  </x:sheetData>
  <x:mergeCells>
    <x:mergeCell ref="A1:H1"/>
  </x:mergeCells>
  <x:pageMargins left="0.7" right="0.7" top="0.75" bottom="0.75" header="0.3" footer="0.3"/>
</x:worksheet>
</file>